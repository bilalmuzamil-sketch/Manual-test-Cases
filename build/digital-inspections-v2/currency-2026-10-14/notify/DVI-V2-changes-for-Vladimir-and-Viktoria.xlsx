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ases to update" sheetId="2" state="visible" r:id="rId2"/>
    <sheet name="Later Jira decisions" sheetId="3" state="visible" r:id="rId3"/>
    <sheet name="No case ye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color rgb="001155CC"/>
      <u val="single"/>
    </font>
    <font>
      <name val="Arial"/>
    </font>
    <font>
      <name val="Arial"/>
      <b val="1"/>
    </font>
    <font>
      <name val="Arial"/>
      <b val="1"/>
      <sz val="14"/>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00" customWidth="1" min="2" max="2"/>
  </cols>
  <sheetData>
    <row r="1">
      <c r="A1" s="1" t="inlineStr">
        <is>
          <t>DVI V2 test cases: what changed in the spec since 22 September</t>
        </is>
      </c>
      <c r="B1" s="2" t="inlineStr"/>
    </row>
    <row r="2">
      <c r="A2" s="2" t="inlineStr"/>
      <c r="B2" s="2" t="inlineStr"/>
    </row>
    <row r="3">
      <c r="A3" s="3" t="inlineStr">
        <is>
          <t>Hi Vladimir and Viktoria,</t>
        </is>
      </c>
      <c r="B3" s="2" t="inlineStr"/>
    </row>
    <row r="4">
      <c r="A4" s="2" t="inlineStr"/>
      <c r="B4" s="2" t="inlineStr">
        <is>
          <t>We checked the Digital Inspection V2 test cases against every current source on 14 October 2026, and we would like to share what has changed, in case it helps.</t>
        </is>
      </c>
    </row>
    <row r="5">
      <c r="A5" s="2" t="inlineStr"/>
      <c r="B5" s="2" t="inlineStr">
        <is>
          <t>Our cases were written against the spec as it was on 22 September. The spec has changed a number of times since, up to version 43 on 13 October. Some cases still follow the earlier wording.</t>
        </is>
      </c>
    </row>
    <row r="6">
      <c r="A6" s="3" t="inlineStr">
        <is>
          <t>Why you, Viktoria</t>
        </is>
      </c>
      <c r="B6" s="2" t="inlineStr">
        <is>
          <t>The DVI V2 team sync of 12 October says "QA on the feature squad owns writing and updating test cases", so these updates are yours to make. We have not edited any case.</t>
        </is>
      </c>
    </row>
    <row r="7">
      <c r="A7" s="3" t="inlineStr">
        <is>
          <t>Why you, Vladimir</t>
        </is>
      </c>
      <c r="B7" s="2" t="inlineStr">
        <is>
          <t>Some of these cases are automated. Where the behaviour changed, the automation may still check the old behaviour.</t>
        </is>
      </c>
    </row>
    <row r="8">
      <c r="A8" s="2" t="inlineStr"/>
      <c r="B8" s="2" t="inlineStr"/>
    </row>
    <row r="9">
      <c r="A9" s="3" t="inlineStr">
        <is>
          <t>What is in each tab</t>
        </is>
      </c>
      <c r="B9" s="2" t="inlineStr"/>
    </row>
    <row r="10">
      <c r="A10" s="3" t="inlineStr">
        <is>
          <t>Cases to update</t>
        </is>
      </c>
      <c r="B10" s="2" t="inlineStr">
        <is>
          <t>One row per case and spec rule: what the spec said before, what it says now, when the spec changed it (from the spec's own change log), and what to do. "Please check" rows are cases that word the rule in their own way.</t>
        </is>
      </c>
    </row>
    <row r="11">
      <c r="A11" s="3" t="inlineStr">
        <is>
          <t>Later Jira decisions</t>
        </is>
      </c>
      <c r="B11" s="2" t="inlineStr">
        <is>
          <t>Decisions made in Jira after the spec text was written. The latest decision wins, so the case should follow it.</t>
        </is>
      </c>
    </row>
    <row r="12">
      <c r="A12" s="3" t="inlineStr">
        <is>
          <t>No case yet</t>
        </is>
      </c>
      <c r="B12" s="2" t="inlineStr">
        <is>
          <t>New rules, or later decisions, that no case covers yet.</t>
        </is>
      </c>
    </row>
    <row r="13">
      <c r="A13" s="2" t="inlineStr"/>
      <c r="B13" s="2" t="inlineStr"/>
    </row>
    <row r="14">
      <c r="A14" s="3" t="inlineStr">
        <is>
          <t>At a glance</t>
        </is>
      </c>
      <c r="B14" s="2" t="inlineStr"/>
    </row>
    <row r="15">
      <c r="A15" s="3" t="inlineStr">
        <is>
          <t>Case rows to update (old wording)</t>
        </is>
      </c>
      <c r="B15" s="2">
        <f>COUNTIF('Cases to update'!M2:M,"Update*")+COUNTIF('Cases to update'!M2:M,"The spec no longer*")</f>
        <v/>
      </c>
    </row>
    <row r="16">
      <c r="A16" s="3" t="inlineStr">
        <is>
          <t>Case rows to check</t>
        </is>
      </c>
      <c r="B16" s="2">
        <f>COUNTIF('Cases to update'!M2:M,"Please check*")</f>
        <v/>
      </c>
    </row>
    <row r="17">
      <c r="A17" s="3" t="inlineStr">
        <is>
          <t>Rows on automated cases</t>
        </is>
      </c>
      <c r="B17" s="2">
        <f>COUNTIF('Cases to update'!C2:C,"Yes")</f>
        <v/>
      </c>
    </row>
    <row r="18">
      <c r="A18" s="3" t="inlineStr">
        <is>
          <t>Later Jira decisions</t>
        </is>
      </c>
      <c r="B18" s="2">
        <f>COUNTA('Later Jira decisions'!A2:A)</f>
        <v/>
      </c>
    </row>
    <row r="19">
      <c r="A19" s="3" t="inlineStr">
        <is>
          <t>Rules with no case yet</t>
        </is>
      </c>
      <c r="B19" s="2">
        <f>COUNTA('No case yet'!A2:A)</f>
        <v/>
      </c>
    </row>
    <row r="20">
      <c r="A20" s="2" t="inlineStr"/>
      <c r="B20" s="2" t="inlineStr"/>
    </row>
    <row r="21">
      <c r="A21" s="3" t="inlineStr">
        <is>
          <t>Sources</t>
        </is>
      </c>
      <c r="B21" s="2" t="inlineStr"/>
    </row>
    <row r="22">
      <c r="A22" s="3" t="inlineStr">
        <is>
          <t>The spec</t>
        </is>
      </c>
      <c r="B22" s="4">
        <f>HYPERLINK("https://shopview.atlassian.net/wiki/pages/viewpage.action?pageId=768507905","Confluence page 768507905, Digital Inspections V2, version 43 (13 Oct 2026)")</f>
        <v/>
      </c>
    </row>
    <row r="23">
      <c r="A23" s="3" t="inlineStr">
        <is>
          <t>Team sync, 12 Oct 2026</t>
        </is>
      </c>
      <c r="B23" s="4">
        <f>HYPERLINK("https://shopview.slack.com/archives/C0C39T5MLMB/p1791807912692899","Milos Vasic in #fs-dvi-v2")</f>
        <v/>
      </c>
    </row>
    <row r="24">
      <c r="A24" s="3" t="inlineStr">
        <is>
          <t>The epic</t>
        </is>
      </c>
      <c r="B24" s="4">
        <f>HYPERLINK("https://shopview.atlassian.net/browse/SV-8181","SV-8181 and its tickets")</f>
        <v/>
      </c>
    </row>
    <row r="25">
      <c r="A25" s="3" t="inlineStr">
        <is>
          <t>The test cases</t>
        </is>
      </c>
      <c r="B25" s="4">
        <f>HYPERLINK("https://shopview.testrail.io/index.php?/suites/view/1&amp;group_id=6658","TestRail folder: Digital Inspection V2")</f>
        <v/>
      </c>
    </row>
    <row r="26">
      <c r="A26" s="3" t="inlineStr">
        <is>
          <t>How the dates were found</t>
        </is>
      </c>
      <c r="B26" s="2" t="inlineStr">
        <is>
          <t>From the Change Log at the end of the spec. The column "How we know the date" says whether the entry names the rule or describes the change.</t>
        </is>
      </c>
    </row>
    <row r="27">
      <c r="A27" s="2" t="inlineStr"/>
      <c r="B27" s="2" t="inlineStr"/>
    </row>
    <row r="28">
      <c r="A28" s="3" t="inlineStr">
        <is>
          <t>Thank you,</t>
        </is>
      </c>
      <c r="B28" s="2" t="inlineStr">
        <is>
          <t>Bilal Muzamil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2" customWidth="1" min="3" max="3"/>
    <col width="22" customWidth="1" min="4" max="4"/>
    <col width="10" customWidth="1" min="5" max="5"/>
    <col width="55" customWidth="1" min="6" max="6"/>
    <col width="55" customWidth="1" min="7" max="7"/>
    <col width="40" customWidth="1" min="8" max="8"/>
    <col width="13" customWidth="1" min="9" max="9"/>
    <col width="30" customWidth="1" min="10" max="10"/>
    <col width="26" customWidth="1" min="11" max="11"/>
    <col width="12" customWidth="1" min="12" max="12"/>
    <col width="40" customWidth="1" min="13" max="13"/>
    <col width="14" customWidth="1" min="14" max="14"/>
  </cols>
  <sheetData>
    <row r="1">
      <c r="A1" s="5" t="inlineStr">
        <is>
          <t>Case</t>
        </is>
      </c>
      <c r="B1" s="5" t="inlineStr">
        <is>
          <t>Case title</t>
        </is>
      </c>
      <c r="C1" s="5" t="inlineStr">
        <is>
          <t>Automated?</t>
        </is>
      </c>
      <c r="D1" s="5" t="inlineStr">
        <is>
          <t>Who this is for</t>
        </is>
      </c>
      <c r="E1" s="5" t="inlineStr">
        <is>
          <t>Spec rule</t>
        </is>
      </c>
      <c r="F1" s="5" t="inlineStr">
        <is>
          <t>What the spec said before (22 Sep 2026)</t>
        </is>
      </c>
      <c r="G1" s="5" t="inlineStr">
        <is>
          <t>What the spec says now (version 43, 13 Oct 2026)</t>
        </is>
      </c>
      <c r="H1" s="5" t="inlineStr">
        <is>
          <t>What changed, in plain words</t>
        </is>
      </c>
      <c r="I1" s="5" t="inlineStr">
        <is>
          <t>When the spec changed</t>
        </is>
      </c>
      <c r="J1" s="5" t="inlineStr">
        <is>
          <t>Spec change log entry</t>
        </is>
      </c>
      <c r="K1" s="5" t="inlineStr">
        <is>
          <t>How we know the date</t>
        </is>
      </c>
      <c r="L1" s="5" t="inlineStr">
        <is>
          <t>Decided in Jira</t>
        </is>
      </c>
      <c r="M1" s="5" t="inlineStr">
        <is>
          <t>What to do</t>
        </is>
      </c>
      <c r="N1" s="5" t="inlineStr">
        <is>
          <t>Where in the spec</t>
        </is>
      </c>
    </row>
    <row r="2">
      <c r="A2" s="6">
        <f>HYPERLINK("https://shopview.testrail.io/index.php?/cases/view/88507","C88507")</f>
        <v/>
      </c>
      <c r="B2" s="7" t="inlineStr">
        <is>
          <t>Note required option on checkbox and per-axle fields, on by default</t>
        </is>
      </c>
      <c r="C2" s="7" t="inlineStr">
        <is>
          <t>No</t>
        </is>
      </c>
      <c r="D2" s="7" t="inlineStr">
        <is>
          <t>Viktoria (case text)</t>
        </is>
      </c>
      <c r="E2" s="7" t="inlineStr">
        <is>
          <t>S1-R2</t>
        </is>
      </c>
      <c r="F2" s="7" t="inlineStr">
        <is>
          <t>The option will be on by default for newly added checkbox fields</t>
        </is>
      </c>
      <c r="G2" s="7" t="inlineStr">
        <is>
          <t>The option will be on by default for newly added checkbox fields, starters included</t>
        </is>
      </c>
      <c r="H2" s="7" t="inlineStr">
        <is>
          <t>The 'note required' option being on by default for newly added checkbox fields now also applies to the fields in the starter templates.</t>
        </is>
      </c>
      <c r="I2" s="7" t="inlineStr">
        <is>
          <t>between 29 Sep 2026 and 13 Oct 2026</t>
        </is>
      </c>
      <c r="J2" s="7" t="inlineStr"/>
      <c r="K2" s="7" t="inlineStr">
        <is>
          <t>Not named in the change log; changed between 29 Sep and 13 Oct</t>
        </is>
      </c>
      <c r="L2" s="7" t="inlineStr"/>
      <c r="M2" s="7" t="inlineStr">
        <is>
          <t>Update the steps and expected results to match the new text.</t>
        </is>
      </c>
      <c r="N2" s="6">
        <f>HYPERLINK("https://shopview.atlassian.net/wiki/pages/viewpage.action?pageId=768507905","Spec page")</f>
        <v/>
      </c>
    </row>
    <row r="3">
      <c r="A3" s="6">
        <f>HYPERLINK("https://shopview.testrail.io/index.php?/cases/view/88513","C88513")</f>
        <v/>
      </c>
      <c r="B3" s="7" t="inlineStr">
        <is>
          <t>Choose which work order gets the lines, or a new one, before drafting</t>
        </is>
      </c>
      <c r="C3" s="7" t="inlineStr">
        <is>
          <t>Yes</t>
        </is>
      </c>
      <c r="D3" s="7" t="inlineStr">
        <is>
          <t>Viktoria (case text) and Vladimir (automation)</t>
        </is>
      </c>
      <c r="E3" s="7" t="inlineStr">
        <is>
          <t>S2-R15</t>
        </is>
      </c>
      <c r="F3" s="7" t="inlineStr">
        <is>
          <t>A destination that cannot take lines will keep its place in the menu and say why. A destination that silently stops being offered reads as a fault</t>
        </is>
      </c>
      <c r="G3" s="7" t="inlineStr">
        <is>
          <t>(removed from the spec)</t>
        </is>
      </c>
      <c r="H3" s="7" t="inlineStr">
        <is>
          <t>Removed: a destination that cannot take lines no longer stays in the menu with a reason; it is simply not shown.</t>
        </is>
      </c>
      <c r="I3" s="7" t="inlineStr">
        <is>
          <t>29 Sep 2026</t>
        </is>
      </c>
      <c r="J3" s="7" t="inlineStr">
        <is>
          <t>29 Sep 2026: "QA contradiction pass answered"</t>
        </is>
      </c>
      <c r="K3" s="7" t="inlineStr">
        <is>
          <t>The change log entry describes this change</t>
        </is>
      </c>
      <c r="L3" s="7" t="inlineStr"/>
      <c r="M3" s="7" t="inlineStr">
        <is>
          <t>The spec no longer has this rule. Remove or rewrite the steps and expected results that check it. Vladimir: the automation for this case may check the old behaviour.</t>
        </is>
      </c>
      <c r="N3" s="6">
        <f>HYPERLINK("https://shopview.atlassian.net/wiki/pages/viewpage.action?pageId=768507905","Spec page")</f>
        <v/>
      </c>
    </row>
    <row r="4">
      <c r="A4" s="6">
        <f>HYPERLINK("https://shopview.testrail.io/index.php?/cases/view/88513","C88513")</f>
        <v/>
      </c>
      <c r="B4" s="7" t="inlineStr">
        <is>
          <t>Choose which work order gets the lines, or a new one, before drafting</t>
        </is>
      </c>
      <c r="C4" s="7" t="inlineStr">
        <is>
          <t>Yes</t>
        </is>
      </c>
      <c r="D4" s="7" t="inlineStr">
        <is>
          <t>Viktoria (case text) and Vladimir (automation)</t>
        </is>
      </c>
      <c r="E4" s="7" t="inlineStr">
        <is>
          <t>S2-R4</t>
        </is>
      </c>
      <c r="F4" s="7" t="inlineStr">
        <is>
          <t>The system will offer the work order the inspection was run on only while that work order is an eligible build target. Eligible means Estimate, Approved, In Progress or Review. This document does not describe a work order as open or closed: the platform carries several competing definitions of open, and this rule names its own predicate rather than joining them</t>
        </is>
      </c>
      <c r="G4" s="7" t="inlineStr">
        <is>
          <t>The system will offer the work order the inspection was run on only while that work order is an eligible build target. Eligible means Estimate, Approved, In Progress or Review, and no invoice exists. This document does not describe a work order as open or closed: the platform carries several competing definitions of open, and this rule names its own predicate rather than joining them</t>
        </is>
      </c>
      <c r="H4" s="7" t="inlineStr">
        <is>
          <t>The inspection's own work order is offered only if it is Estimate, Approved, In Progress or Review and also has no invoice (the 'no invoice' condition is new in this rule).</t>
        </is>
      </c>
      <c r="I4" s="7" t="inlineStr">
        <is>
          <t>between 29 Sep 2026 and 2 Oct 2026</t>
        </is>
      </c>
      <c r="J4" s="7" t="inlineStr"/>
      <c r="K4" s="7" t="inlineStr">
        <is>
          <t>Not named in the change log; Jira SV-10792 (2 Oct 2026) already quotes the new text</t>
        </is>
      </c>
      <c r="L4" s="7" t="inlineStr"/>
      <c r="M4" s="7" t="inlineStr">
        <is>
          <t>Update the steps and expected results to match the new text. Vladimir: the automation for this case may check the old behaviour.</t>
        </is>
      </c>
      <c r="N4" s="6">
        <f>HYPERLINK("https://shopview.atlassian.net/wiki/pages/viewpage.action?pageId=768507905","Spec page")</f>
        <v/>
      </c>
    </row>
    <row r="5">
      <c r="A5" s="6">
        <f>HYPERLINK("https://shopview.testrail.io/index.php?/cases/view/88513","C88513")</f>
        <v/>
      </c>
      <c r="B5" s="7" t="inlineStr">
        <is>
          <t>Choose which work order gets the lines, or a new one, before drafting</t>
        </is>
      </c>
      <c r="C5" s="7" t="inlineStr">
        <is>
          <t>Yes</t>
        </is>
      </c>
      <c r="D5" s="7" t="inlineStr">
        <is>
          <t>Viktoria (case text) and Vladimir (automation)</t>
        </is>
      </c>
      <c r="E5" s="7" t="inlineStr">
        <is>
          <t>S2-R5</t>
        </is>
      </c>
      <c r="F5" s="7" t="inlineStr">
        <is>
          <t>When the work order the inspection was run on is not an eligible build target, the system will create a new work order without asking. It is ineligible when its status is Complete, Invoiced, Paid or Declined, or when an invoice already exists. Declined counts as ineligible because lines added to a refused order would revive work the customer turned down</t>
        </is>
      </c>
      <c r="G5" s="7" t="inlineStr">
        <is>
          <t>When the work order the inspection was run on is not an eligible build target, the destination menu still opens and offers only a new work order. It is ineligible when its status is Complete, Invoiced, Paid or Declined, or when an invoice already exists. Declined counts as ineligible because lines added to a refused order would revive work the customer turned down</t>
        </is>
      </c>
      <c r="H5" s="7" t="inlineStr">
        <is>
          <t>When the inspection's own work order cannot take lines, the destination menu still opens and offers only a new work order, instead of a new work order being created without asking.</t>
        </is>
      </c>
      <c r="I5" s="7" t="inlineStr">
        <is>
          <t>29 Sep 2026</t>
        </is>
      </c>
      <c r="J5" s="7" t="inlineStr">
        <is>
          <t>29 Sep 2026: "QA contradiction pass answered"</t>
        </is>
      </c>
      <c r="K5" s="7" t="inlineStr">
        <is>
          <t>The change log entry describes this change</t>
        </is>
      </c>
      <c r="L5" s="7" t="inlineStr"/>
      <c r="M5" s="7" t="inlineStr">
        <is>
          <t>Update the steps and expected results to match the new text. Vladimir: the automation for this case may check the old behaviour.</t>
        </is>
      </c>
      <c r="N5" s="6">
        <f>HYPERLINK("https://shopview.atlassian.net/wiki/pages/viewpage.action?pageId=768507905","Spec page")</f>
        <v/>
      </c>
    </row>
    <row r="6">
      <c r="A6" s="6">
        <f>HYPERLINK("https://shopview.testrail.io/index.php?/cases/view/88514","C88514")</f>
        <v/>
      </c>
      <c r="B6" s="7" t="inlineStr">
        <is>
          <t>A line built from an inspection behaves like any approved line</t>
        </is>
      </c>
      <c r="C6" s="7" t="inlineStr">
        <is>
          <t>Yes</t>
        </is>
      </c>
      <c r="D6" s="7" t="inlineStr">
        <is>
          <t>Viktoria (case text) and Vladimir (automation)</t>
        </is>
      </c>
      <c r="E6" s="7" t="inlineStr">
        <is>
          <t>S2-R1</t>
        </is>
      </c>
      <c r="F6" s="7" t="inlineStr">
        <is>
          <t>Every Monitor and Not OK finding will be represented by at least one line. ShopCoach composes each line's name, description, time estimate and parts; the field label, the measured value and the technician's note are inputs to that drafting rather than the line text itself (S15)</t>
        </is>
      </c>
      <c r="G6" s="7" t="inlineStr">
        <is>
          <t>Every Monitor and Not OK finding will be represented by at least one line. ShopCoach composes each line's name, description, time estimate and parts; the field label, the measured value and the technician's note are inputs to that drafting rather than the line text itself (S15). When drafting fails, S15-E2 applies instead</t>
        </is>
      </c>
      <c r="H6" s="7" t="inlineStr">
        <is>
          <t>Adds that when ShopCoach drafting fails, the failure rule applies instead of every flagged finding getting a line.</t>
        </is>
      </c>
      <c r="I6" s="7" t="inlineStr">
        <is>
          <t>29 Sep 2026</t>
        </is>
      </c>
      <c r="J6" s="7" t="inlineStr">
        <is>
          <t>29 Sep 2026: "QA contradiction pass answered"</t>
        </is>
      </c>
      <c r="K6" s="7" t="inlineStr">
        <is>
          <t>The change log entry describes this change</t>
        </is>
      </c>
      <c r="L6" s="7" t="inlineStr"/>
      <c r="M6" s="7" t="inlineStr">
        <is>
          <t>Update the steps and expected results to match the new text. Vladimir: the automation for this case may check the old behaviour.</t>
        </is>
      </c>
      <c r="N6" s="6">
        <f>HYPERLINK("https://shopview.atlassian.net/wiki/pages/viewpage.action?pageId=768507905","Spec page")</f>
        <v/>
      </c>
    </row>
    <row r="7">
      <c r="A7" s="6">
        <f>HYPERLINK("https://shopview.testrail.io/index.php?/cases/view/88515","C88515")</f>
        <v/>
      </c>
      <c r="B7" s="7" t="inlineStr">
        <is>
          <t>After building you land on Lines, the finding is marked done, rebuild asks</t>
        </is>
      </c>
      <c r="C7" s="7" t="inlineStr">
        <is>
          <t>No</t>
        </is>
      </c>
      <c r="D7" s="7" t="inlineStr">
        <is>
          <t>Viktoria (case text)</t>
        </is>
      </c>
      <c r="E7" s="7" t="inlineStr">
        <is>
          <t>S2-R13</t>
        </is>
      </c>
      <c r="F7" s="7" t="inlineStr">
        <is>
          <t>If lines have already been added from this inspection, the user will be asked to confirm before adding a second set. The check is made when Add Lines is pressed, on the state at that moment</t>
        </is>
      </c>
      <c r="G7" s="7" t="inlineStr">
        <is>
          <t>An inspection is built from once. After lines have been added from it, to this work order or to a new one, no entry point offers the build action again: the completed inspection, the work order note and the asset row show the outcome instead, with a link to the work order that got the lines. The check is made again when Add Lines is pressed; if the inspection was built from elsewhere in the meantime, nothing is added and the user is told where the lines went</t>
        </is>
      </c>
      <c r="H7" s="7" t="inlineStr">
        <is>
          <t>Lines can be built from an inspection only once: instead of asking to confirm a second set, every place shows the result with a link to the work order that got the lines, and a late second Add Lines adds nothing and tells the user where the lines went.</t>
        </is>
      </c>
      <c r="I7" s="7" t="inlineStr">
        <is>
          <t>29 Sep 2026</t>
        </is>
      </c>
      <c r="J7" s="7" t="inlineStr">
        <is>
          <t>29 Sep 2026: "QA contradiction pass answered"</t>
        </is>
      </c>
      <c r="K7" s="7" t="inlineStr">
        <is>
          <t>The change log entry names this rule</t>
        </is>
      </c>
      <c r="L7" s="7" t="inlineStr"/>
      <c r="M7" s="7" t="inlineStr">
        <is>
          <t>Update the steps and expected results to match the new text.</t>
        </is>
      </c>
      <c r="N7" s="6">
        <f>HYPERLINK("https://shopview.atlassian.net/wiki/pages/viewpage.action?pageId=768507905","Spec page")</f>
        <v/>
      </c>
    </row>
    <row r="8">
      <c r="A8" s="6">
        <f>HYPERLINK("https://shopview.testrail.io/index.php?/cases/view/88518","C88518")</f>
        <v/>
      </c>
      <c r="B8" s="7" t="inlineStr">
        <is>
          <t>Building lines with long notes, many findings, or a deleted work order</t>
        </is>
      </c>
      <c r="C8" s="7" t="inlineStr">
        <is>
          <t>Yes</t>
        </is>
      </c>
      <c r="D8" s="7" t="inlineStr">
        <is>
          <t>Viktoria (case text) and Vladimir (automation)</t>
        </is>
      </c>
      <c r="E8" s="7" t="inlineStr">
        <is>
          <t>S2-E6</t>
        </is>
      </c>
      <c r="F8" s="7" t="inlineStr">
        <is>
          <t>If two users draft from the same inspection at once, nothing is duplicated by the drafting itself, because a draft is not a work order line. Duplication happens only if both press Add Lines, which is accepted and recoverable</t>
        </is>
      </c>
      <c r="G8" s="7" t="inlineStr">
        <is>
          <t>If two users draft from the same inspection at once, nothing is duplicated by the drafting itself, because a draft is not a work order line. When both press Add Lines, only the first adds lines; the second adds nothing and the user is told where the lines went (S2-R13)</t>
        </is>
      </c>
      <c r="H8" s="7" t="inlineStr">
        <is>
          <t>When two users both press Add Lines on the same inspection, only the first adds lines; the second adds nothing and is told where the lines went (before, both sets were added).</t>
        </is>
      </c>
      <c r="I8" s="7" t="inlineStr">
        <is>
          <t>7 Oct 2026</t>
        </is>
      </c>
      <c r="J8" s="7" t="inlineStr">
        <is>
          <t>7 Oct 2026: "Leftovers from the built-once rule; file limit; submit name"</t>
        </is>
      </c>
      <c r="K8" s="7" t="inlineStr">
        <is>
          <t>The change log entry names this rule</t>
        </is>
      </c>
      <c r="L8" s="7" t="inlineStr"/>
      <c r="M8" s="7" t="inlineStr">
        <is>
          <t>Update the steps and expected results to match the new text. Vladimir: the automation for this case may check the old behaviour.</t>
        </is>
      </c>
      <c r="N8" s="6">
        <f>HYPERLINK("https://shopview.atlassian.net/wiki/pages/viewpage.action?pageId=768507905","Spec page")</f>
        <v/>
      </c>
    </row>
    <row r="9">
      <c r="A9" s="6">
        <f>HYPERLINK("https://shopview.testrail.io/index.php?/cases/view/88518","C88518")</f>
        <v/>
      </c>
      <c r="B9" s="7" t="inlineStr">
        <is>
          <t>Building lines with long notes, many findings, or a deleted work order</t>
        </is>
      </c>
      <c r="C9" s="7" t="inlineStr">
        <is>
          <t>Yes</t>
        </is>
      </c>
      <c r="D9" s="7" t="inlineStr">
        <is>
          <t>Viktoria (case text) and Vladimir (automation)</t>
        </is>
      </c>
      <c r="E9" s="7" t="inlineStr">
        <is>
          <t>S2-E12</t>
        </is>
      </c>
      <c r="F9" s="7" t="inlineStr">
        <is>
          <t>If the work order the inspection was run on is deleted, the inspection survives it (S5-R21) and stays listed on the asset with a dash in its work order column. Where the lines had been added to that same work order they are gone with it, and the inspection counts as needing a work order again</t>
        </is>
      </c>
      <c r="G9" s="7" t="inlineStr">
        <is>
          <t>If the work order the inspection was run on is deleted, an inspection that has a report survives it as a read-only record (S5-E3). Lines that had been added to that work order are gone with it. The inspection does not count as needing a work order, because it can no longer be built from</t>
        </is>
      </c>
      <c r="H9" s="7" t="inlineStr">
        <is>
          <t>When the inspection's work order is deleted, only an inspection that has a report survives, as a read-only record; it no longer counts as needing a work order, because it can no longer be built from (before, it counted as needing one again).</t>
        </is>
      </c>
      <c r="I9" s="7" t="inlineStr">
        <is>
          <t>6 Oct 2026</t>
        </is>
      </c>
      <c r="J9" s="7" t="inlineStr">
        <is>
          <t>6 Oct 2026: "Deleted work orders, removed inspections and splits"
Also: 7 Oct 2026: "Deleted work order after a build"</t>
        </is>
      </c>
      <c r="K9" s="7" t="inlineStr">
        <is>
          <t>The change log entry describes this change</t>
        </is>
      </c>
      <c r="L9" s="7" t="inlineStr"/>
      <c r="M9" s="7" t="inlineStr">
        <is>
          <t>Update the steps and expected results to match the new text. Vladimir: the automation for this case may check the old behaviour.</t>
        </is>
      </c>
      <c r="N9" s="6">
        <f>HYPERLINK("https://shopview.atlassian.net/wiki/pages/viewpage.action?pageId=768507905","Spec page")</f>
        <v/>
      </c>
    </row>
    <row r="10">
      <c r="A10" s="6">
        <f>HYPERLINK("https://shopview.testrail.io/index.php?/cases/view/88518","C88518")</f>
        <v/>
      </c>
      <c r="B10" s="7" t="inlineStr">
        <is>
          <t>Building lines with long notes, many findings, or a deleted work order</t>
        </is>
      </c>
      <c r="C10" s="7" t="inlineStr">
        <is>
          <t>Yes</t>
        </is>
      </c>
      <c r="D10" s="7" t="inlineStr">
        <is>
          <t>Viktoria (case text) and Vladimir (automation)</t>
        </is>
      </c>
      <c r="E10" s="7" t="inlineStr">
        <is>
          <t>S5-R21</t>
        </is>
      </c>
      <c r="F10" s="7" t="inlineStr">
        <is>
          <t>An inspection records the asset it was run on, stored on the inspection when it is created rather than derived through its work order. A work order carries exactly one asset and that asset can be changed later, so this tab is a record of what was inspected rather than a view that follows a later correction. Inspections that exist before this release are backfilled from their work order’s asset at migration, without which this tab cannot show history</t>
        </is>
      </c>
      <c r="G10" s="7" t="inlineStr">
        <is>
          <t>The tab lists the inspections whose work order is on this asset now, so it follows the work order when the work order's asset is changed or two assets are merged. The asset an inspection was run on is also stored on the inspection when it is created, as a record. Inspections that exist before this release are backfilled from their work order's asset at migration. When the work order has been deleted, the stored asset is used (S5-E3). Merging assets moves such inspections to the surviving asset, as it moves the work orders</t>
        </is>
      </c>
      <c r="H10" s="7" t="inlineStr">
        <is>
          <t>The asset's Inspections tab now lists the inspections whose work order is on this asset now, so it follows the work order when its asset is changed or assets are merged; the asset stored on the inspection is kept as a record and used when the work order has been deleted, and merging assets moves such inspections to the surviving asset.</t>
        </is>
      </c>
      <c r="I10" s="7" t="inlineStr">
        <is>
          <t>5 Oct 2026</t>
        </is>
      </c>
      <c r="J10" s="7" t="inlineStr">
        <is>
          <t>5 Oct 2026: "Developer and QA questions answered"
Also: 7 Oct 2026: "Deleted work order: outcome, footer, reopened, merge (SV-10965)"</t>
        </is>
      </c>
      <c r="K10" s="7" t="inlineStr">
        <is>
          <t>The change log entry describes this change</t>
        </is>
      </c>
      <c r="L10" s="6">
        <f>HYPERLINK("https://shopview.atlassian.net/browse/SV-10965","SV-10965")</f>
        <v/>
      </c>
      <c r="M10" s="7" t="inlineStr">
        <is>
          <t>Update the steps and expected results to match the new text. Vladimir: the automation for this case may check the old behaviour.</t>
        </is>
      </c>
      <c r="N10" s="6">
        <f>HYPERLINK("https://shopview.atlassian.net/wiki/pages/viewpage.action?pageId=768507905","Spec page")</f>
        <v/>
      </c>
    </row>
    <row r="11">
      <c r="A11" s="6">
        <f>HYPERLINK("https://shopview.testrail.io/index.php?/cases/view/88520","C88520")</f>
        <v/>
      </c>
      <c r="B11" s="7" t="inlineStr">
        <is>
          <t>The summary card, counts per verdict, and the section review</t>
        </is>
      </c>
      <c r="C11" s="7" t="inlineStr">
        <is>
          <t>Yes</t>
        </is>
      </c>
      <c r="D11" s="7" t="inlineStr">
        <is>
          <t>Viktoria (case text) and Vladimir (automation)</t>
        </is>
      </c>
      <c r="E11" s="7" t="inlineStr">
        <is>
          <t>S3-R4</t>
        </is>
      </c>
      <c r="F11" s="7" t="inlineStr">
        <is>
          <t>The screen will lead with a summary card: the completion line, a count per verdict, and a findings list naming each flagged position as field, axle, row and position with the reading that earned it</t>
        </is>
      </c>
      <c r="G11" s="7" t="inlineStr">
        <is>
          <t>The screen will lead with a summary card: the completion line, a count per verdict, and a findings list naming each flagged row as field, axle and row, followed by every flagged position on it with its reading, for example 'Brake &amp; tire measurements · Axle 1 · Tire pressure: left outer 42 psi, right outer 40 psi'</t>
        </is>
      </c>
      <c r="H11" s="7" t="inlineStr">
        <is>
          <t>The findings list on the completed screen now names each flagged row (field, axle and row) followed by every flagged position on it with its reading, instead of one entry per flagged position.</t>
        </is>
      </c>
      <c r="I11" s="7" t="inlineStr">
        <is>
          <t>29 Sep 2026</t>
        </is>
      </c>
      <c r="J11" s="7" t="inlineStr">
        <is>
          <t>29 Sep 2026: "QA contradiction pass answered"</t>
        </is>
      </c>
      <c r="K11" s="7" t="inlineStr">
        <is>
          <t>The change log entry describes this change</t>
        </is>
      </c>
      <c r="L11" s="7" t="inlineStr"/>
      <c r="M11" s="7" t="inlineStr">
        <is>
          <t>Update the steps and expected results to match the new text. Vladimir: the automation for this case may check the old behaviour.</t>
        </is>
      </c>
      <c r="N11" s="6">
        <f>HYPERLINK("https://shopview.atlassian.net/wiki/pages/viewpage.action?pageId=768507905","Spec page")</f>
        <v/>
      </c>
    </row>
    <row r="12">
      <c r="A12" s="6">
        <f>HYPERLINK("https://shopview.testrail.io/index.php?/cases/view/88520","C88520")</f>
        <v/>
      </c>
      <c r="B12" s="7" t="inlineStr">
        <is>
          <t>The summary card, counts per verdict, and the section review</t>
        </is>
      </c>
      <c r="C12" s="7" t="inlineStr">
        <is>
          <t>Yes</t>
        </is>
      </c>
      <c r="D12" s="7" t="inlineStr">
        <is>
          <t>Viktoria (case text) and Vladimir (automation)</t>
        </is>
      </c>
      <c r="E12" s="7" t="inlineStr">
        <is>
          <t>S3-R6</t>
        </is>
      </c>
      <c r="F12" s="7" t="inlineStr">
        <is>
          <t>With ShopCoach the card's footer will offer View PDF, Go to work order and Build lines, and a note above it will name the product once. Without ShopCoach the footer will offer View PDF and Go to work order, and the same space will carry a plain line saying the findings are on the customer report and in the work order note feed and that the lines are added on the work order</t>
        </is>
      </c>
      <c r="G12" s="7" t="inlineStr">
        <is>
          <t>With ShopCoach the card's footer will offer View PDF, Go to work order and Build lines, and a note above it will name the product once. Without ShopCoach the footer will offer View PDF and Go to work order, and the same space will carry a plain line saying the findings are on the customer report and in the work order note feed and that the lines are added on the work order. When the work order the inspection was run on has been deleted, the footer offers View PDF only, with or without ShopCoach, and no plain line; it also shows the outcome when the lines went onto another work order that still exists (S5-E3)</t>
        </is>
      </c>
      <c r="H12" s="7" t="inlineStr">
        <is>
          <t>When the inspection's work order has been deleted, the completed screen's footer offers only View PDF, with or without ShopCoach and with no explanatory line, and also shows the result if the lines went onto another work order that still exists.</t>
        </is>
      </c>
      <c r="I12" s="7" t="inlineStr">
        <is>
          <t>7 Oct 2026</t>
        </is>
      </c>
      <c r="J12" s="7" t="inlineStr">
        <is>
          <t>7 Oct 2026: "Deleted work order: outcome, footer, reopened, merge (SV-10965)"
Also: 7 Oct 2026: "Deleted work order after a build"</t>
        </is>
      </c>
      <c r="K12" s="7" t="inlineStr">
        <is>
          <t>The change log entry describes this change</t>
        </is>
      </c>
      <c r="L12" s="6">
        <f>HYPERLINK("https://shopview.atlassian.net/browse/SV-10965","SV-10965")</f>
        <v/>
      </c>
      <c r="M12" s="7" t="inlineStr">
        <is>
          <t>Update the steps and expected results to match the new text. Vladimir: the automation for this case may check the old behaviour.</t>
        </is>
      </c>
      <c r="N12" s="6">
        <f>HYPERLINK("https://shopview.atlassian.net/wiki/pages/viewpage.action?pageId=768507905","Spec page")</f>
        <v/>
      </c>
    </row>
    <row r="13">
      <c r="A13" s="6">
        <f>HYPERLINK("https://shopview.testrail.io/index.php?/cases/view/88521","C88521")</f>
        <v/>
      </c>
      <c r="B13" s="7" t="inlineStr">
        <is>
          <t>Build lines is hidden, not greyed out, until the inspection is ready</t>
        </is>
      </c>
      <c r="C13" s="7" t="inlineStr">
        <is>
          <t>No</t>
        </is>
      </c>
      <c r="D13" s="7" t="inlineStr">
        <is>
          <t>Viktoria (case text)</t>
        </is>
      </c>
      <c r="E13" s="7" t="inlineStr">
        <is>
          <t>S3-N4</t>
        </is>
      </c>
      <c r="F13" s="7" t="inlineStr">
        <is>
          <t>If the organisation does not have ShopCoach, no build action is shown. The screen offers View PDF and a link to the work order and nothing else — the action is absent, not disabled and not behind a tooltip (S2-R0)</t>
        </is>
      </c>
      <c r="G13" s="7" t="inlineStr">
        <is>
          <t>If the organisation does not have ShopCoach, no build action is shown. The screen offers View PDF and a link to the work order and no build action — the action is absent, not disabled and not behind a tooltip (S2-R0)</t>
        </is>
      </c>
      <c r="H13" s="7" t="inlineStr">
        <is>
          <t>Wording only: without ShopCoach the screen offers View PDF, a link to the work order and 'no build action' instead of 'nothing else'.</t>
        </is>
      </c>
      <c r="I13" s="7" t="inlineStr">
        <is>
          <t>between 29 Sep 2026 and 13 Oct 2026</t>
        </is>
      </c>
      <c r="J13" s="7" t="inlineStr"/>
      <c r="K13" s="7" t="inlineStr">
        <is>
          <t>Not named in the change log; changed between 29 Sep and 13 Oct</t>
        </is>
      </c>
      <c r="L13" s="7" t="inlineStr"/>
      <c r="M13" s="7" t="inlineStr">
        <is>
          <t>Update the steps and expected results to match the new text.</t>
        </is>
      </c>
      <c r="N13" s="6">
        <f>HYPERLINK("https://shopview.atlassian.net/wiki/pages/viewpage.action?pageId=768507905","Spec page")</f>
        <v/>
      </c>
    </row>
    <row r="14">
      <c r="A14" s="6">
        <f>HYPERLINK("https://shopview.testrail.io/index.php?/cases/view/88522","C88522")</f>
        <v/>
      </c>
      <c r="B14" s="7" t="inlineStr">
        <is>
          <t>Building lines when the work order is deleted, built twice, or reopened</t>
        </is>
      </c>
      <c r="C14" s="7" t="inlineStr">
        <is>
          <t>Yes</t>
        </is>
      </c>
      <c r="D14" s="7" t="inlineStr">
        <is>
          <t>Viktoria (case text) and Vladimir (automation)</t>
        </is>
      </c>
      <c r="E14" s="7" t="inlineStr">
        <is>
          <t>S2-R13</t>
        </is>
      </c>
      <c r="F14" s="7" t="inlineStr">
        <is>
          <t>If lines have already been added from this inspection, the user will be asked to confirm before adding a second set. The check is made when Add Lines is pressed, on the state at that moment</t>
        </is>
      </c>
      <c r="G14" s="7" t="inlineStr">
        <is>
          <t>An inspection is built from once. After lines have been added from it, to this work order or to a new one, no entry point offers the build action again: the completed inspection, the work order note and the asset row show the outcome instead, with a link to the work order that got the lines. The check is made again when Add Lines is pressed; if the inspection was built from elsewhere in the meantime, nothing is added and the user is told where the lines went</t>
        </is>
      </c>
      <c r="H14" s="7" t="inlineStr">
        <is>
          <t>Lines can be built from an inspection only once: instead of asking to confirm a second set, every place shows the result with a link to the work order that got the lines, and a late second Add Lines adds nothing and tells the user where the lines went.</t>
        </is>
      </c>
      <c r="I14" s="7" t="inlineStr">
        <is>
          <t>29 Sep 2026</t>
        </is>
      </c>
      <c r="J14" s="7" t="inlineStr">
        <is>
          <t>29 Sep 2026: "QA contradiction pass answered"</t>
        </is>
      </c>
      <c r="K14" s="7" t="inlineStr">
        <is>
          <t>The change log entry names this rule</t>
        </is>
      </c>
      <c r="L14" s="7" t="inlineStr"/>
      <c r="M14" s="7" t="inlineStr">
        <is>
          <t>Update the steps and expected results to match the new text. Vladimir: the automation for this case may check the old behaviour.</t>
        </is>
      </c>
      <c r="N14" s="6">
        <f>HYPERLINK("https://shopview.atlassian.net/wiki/pages/viewpage.action?pageId=768507905","Spec page")</f>
        <v/>
      </c>
    </row>
    <row r="15">
      <c r="A15" s="6">
        <f>HYPERLINK("https://shopview.testrail.io/index.php?/cases/view/88522","C88522")</f>
        <v/>
      </c>
      <c r="B15" s="7" t="inlineStr">
        <is>
          <t>Building lines when the work order is deleted, built twice, or reopened</t>
        </is>
      </c>
      <c r="C15" s="7" t="inlineStr">
        <is>
          <t>Yes</t>
        </is>
      </c>
      <c r="D15" s="7" t="inlineStr">
        <is>
          <t>Viktoria (case text) and Vladimir (automation)</t>
        </is>
      </c>
      <c r="E15" s="7" t="inlineStr">
        <is>
          <t>S3-E1</t>
        </is>
      </c>
      <c r="F15" s="7" t="inlineStr">
        <is>
          <t>If the work order the inspection was run on has been deleted, only the option to create a new work order is offered</t>
        </is>
      </c>
      <c r="G15" s="7" t="inlineStr">
        <is>
          <t>If the work order the inspection was run on has been deleted, no build action is offered (S5-E3). If it was built from before the deletion, the footer shows the outcome instead (S3-R8)</t>
        </is>
      </c>
      <c r="H15" s="7" t="inlineStr">
        <is>
          <t>When the inspection's work order has been deleted, no build action is offered at all (before, only 'a new work order' was offered); if lines were built before the deletion, the footer shows the result instead.</t>
        </is>
      </c>
      <c r="I15" s="7" t="inlineStr">
        <is>
          <t>6 Oct 2026</t>
        </is>
      </c>
      <c r="J15" s="7" t="inlineStr">
        <is>
          <t>6 Oct 2026: "Deleted work orders, removed inspections and splits"
Also: 7 Oct 2026: "Deleted work order after a build"</t>
        </is>
      </c>
      <c r="K15" s="7" t="inlineStr">
        <is>
          <t>The change log entry describes this change</t>
        </is>
      </c>
      <c r="L15" s="7" t="inlineStr"/>
      <c r="M15" s="7" t="inlineStr">
        <is>
          <t>Update the steps and expected results to match the new text. Vladimir: the automation for this case may check the old behaviour.</t>
        </is>
      </c>
      <c r="N15" s="6">
        <f>HYPERLINK("https://shopview.atlassian.net/wiki/pages/viewpage.action?pageId=768507905","Spec page")</f>
        <v/>
      </c>
    </row>
    <row r="16">
      <c r="A16" s="6">
        <f>HYPERLINK("https://shopview.testrail.io/index.php?/cases/view/88522","C88522")</f>
        <v/>
      </c>
      <c r="B16" s="7" t="inlineStr">
        <is>
          <t>Building lines when the work order is deleted, built twice, or reopened</t>
        </is>
      </c>
      <c r="C16" s="7" t="inlineStr">
        <is>
          <t>Yes</t>
        </is>
      </c>
      <c r="D16" s="7" t="inlineStr">
        <is>
          <t>Viktoria (case text) and Vladimir (automation)</t>
        </is>
      </c>
      <c r="E16" s="7" t="inlineStr">
        <is>
          <t>S3-E2</t>
        </is>
      </c>
      <c r="F16" s="7" t="inlineStr">
        <is>
          <t>If another user builds from the same inspection while this screen is open, the confirmation in S2-R13 is based on the current state rather than the state when the screen loaded</t>
        </is>
      </c>
      <c r="G16" s="7" t="inlineStr">
        <is>
          <t>If another user builds from the same inspection while this screen is open, the check in S2-R13 is based on the current state rather than the state when the screen loaded</t>
        </is>
      </c>
      <c r="H16" s="7" t="inlineStr">
        <is>
          <t>Wording: when another user builds while the screen is open, the built-once check (not a confirmation) is based on the current state rather than the state when the screen loaded.</t>
        </is>
      </c>
      <c r="I16" s="7" t="inlineStr">
        <is>
          <t>7 Oct 2026</t>
        </is>
      </c>
      <c r="J16" s="7" t="inlineStr">
        <is>
          <t>7 Oct 2026: "Leftovers from the built-once rule; file limit; submit name"</t>
        </is>
      </c>
      <c r="K16" s="7" t="inlineStr">
        <is>
          <t>The change log entry names this rule</t>
        </is>
      </c>
      <c r="L16" s="7" t="inlineStr"/>
      <c r="M16" s="7" t="inlineStr">
        <is>
          <t>Update the steps and expected results to match the new text. Vladimir: the automation for this case may check the old behaviour.</t>
        </is>
      </c>
      <c r="N16" s="6">
        <f>HYPERLINK("https://shopview.atlassian.net/wiki/pages/viewpage.action?pageId=768507905","Spec page")</f>
        <v/>
      </c>
    </row>
    <row r="17">
      <c r="A17" s="6">
        <f>HYPERLINK("https://shopview.testrail.io/index.php?/cases/view/88524","C88524")</f>
        <v/>
      </c>
      <c r="B17" s="7" t="inlineStr">
        <is>
          <t>Building again asks to confirm, based on the inspection as it is now</t>
        </is>
      </c>
      <c r="C17" s="7" t="inlineStr">
        <is>
          <t>No</t>
        </is>
      </c>
      <c r="D17" s="7" t="inlineStr">
        <is>
          <t>Viktoria (case text)</t>
        </is>
      </c>
      <c r="E17" s="7" t="inlineStr">
        <is>
          <t>S4-R3</t>
        </is>
      </c>
      <c r="F17" s="7" t="inlineStr">
        <is>
          <t>The confirmation in S2-R13 will be based on the inspection's current state rather than on the note. The note reflects the inspection as it was when it completed, so a build performed elsewhere afterwards would otherwise go unnoticed and the same findings could be built twice without warning</t>
        </is>
      </c>
      <c r="G17" s="7" t="inlineStr">
        <is>
          <t>(removed from the spec)</t>
        </is>
      </c>
      <c r="H17" s="7" t="inlineStr">
        <is>
          <t>Removed: the rule that the 'add a second set?' confirmation is based on the inspection's current state, because lines can now be built from an inspection only once.</t>
        </is>
      </c>
      <c r="I17" s="7" t="inlineStr">
        <is>
          <t>29 Sep 2026</t>
        </is>
      </c>
      <c r="J17" s="7" t="inlineStr">
        <is>
          <t>29 Sep 2026: "QA contradiction pass answered"</t>
        </is>
      </c>
      <c r="K17" s="7" t="inlineStr">
        <is>
          <t>The change log entry describes this change</t>
        </is>
      </c>
      <c r="L17" s="7" t="inlineStr"/>
      <c r="M17" s="7" t="inlineStr">
        <is>
          <t>The spec no longer has this rule. Remove or rewrite the steps and expected results that check it.</t>
        </is>
      </c>
      <c r="N17" s="6">
        <f>HYPERLINK("https://shopview.atlassian.net/wiki/pages/viewpage.action?pageId=768507905","Spec page")</f>
        <v/>
      </c>
    </row>
    <row r="18">
      <c r="A18" s="6">
        <f>HYPERLINK("https://shopview.testrail.io/index.php?/cases/view/88524","C88524")</f>
        <v/>
      </c>
      <c r="B18" s="7" t="inlineStr">
        <is>
          <t>Building again asks to confirm, based on the inspection as it is now</t>
        </is>
      </c>
      <c r="C18" s="7" t="inlineStr">
        <is>
          <t>No</t>
        </is>
      </c>
      <c r="D18" s="7" t="inlineStr">
        <is>
          <t>Viktoria (case text)</t>
        </is>
      </c>
      <c r="E18" s="7" t="inlineStr">
        <is>
          <t>S4-E2</t>
        </is>
      </c>
      <c r="F18" s="7" t="inlineStr">
        <is>
          <t>If the inspection was already built from through another entry point, the user is asked to confirm</t>
        </is>
      </c>
      <c r="G18" s="7" t="inlineStr">
        <is>
          <t>(removed from the spec)</t>
        </is>
      </c>
      <c r="H18" s="7" t="inlineStr">
        <is>
          <t>Removed: building from the work order note after the inspection was already built from elsewhere no longer asks the user to confirm, because lines can now be built from an inspection only once.</t>
        </is>
      </c>
      <c r="I18" s="7" t="inlineStr">
        <is>
          <t>29 Sep 2026</t>
        </is>
      </c>
      <c r="J18" s="7" t="inlineStr">
        <is>
          <t>29 Sep 2026: "QA contradiction pass answered"</t>
        </is>
      </c>
      <c r="K18" s="7" t="inlineStr">
        <is>
          <t>The change log entry describes this change</t>
        </is>
      </c>
      <c r="L18" s="7" t="inlineStr"/>
      <c r="M18" s="7" t="inlineStr">
        <is>
          <t>The spec no longer has this rule. Remove or rewrite the steps and expected results that check it.</t>
        </is>
      </c>
      <c r="N18" s="6">
        <f>HYPERLINK("https://shopview.atlassian.net/wiki/pages/viewpage.action?pageId=768507905","Spec page")</f>
        <v/>
      </c>
    </row>
    <row r="19">
      <c r="A19" s="6">
        <f>HYPERLINK("https://shopview.testrail.io/index.php?/cases/view/88524","C88524")</f>
        <v/>
      </c>
      <c r="B19" s="7" t="inlineStr">
        <is>
          <t>Building again asks to confirm, based on the inspection as it is now</t>
        </is>
      </c>
      <c r="C19" s="7" t="inlineStr">
        <is>
          <t>No</t>
        </is>
      </c>
      <c r="D19" s="7" t="inlineStr">
        <is>
          <t>Viktoria (case text)</t>
        </is>
      </c>
      <c r="E19" s="7" t="inlineStr">
        <is>
          <t>S2-R13</t>
        </is>
      </c>
      <c r="F19" s="7" t="inlineStr">
        <is>
          <t>If lines have already been added from this inspection, the user will be asked to confirm before adding a second set. The check is made when Add Lines is pressed, on the state at that moment</t>
        </is>
      </c>
      <c r="G19" s="7" t="inlineStr">
        <is>
          <t>An inspection is built from once. After lines have been added from it, to this work order or to a new one, no entry point offers the build action again: the completed inspection, the work order note and the asset row show the outcome instead, with a link to the work order that got the lines. The check is made again when Add Lines is pressed; if the inspection was built from elsewhere in the meantime, nothing is added and the user is told where the lines went</t>
        </is>
      </c>
      <c r="H19" s="7" t="inlineStr">
        <is>
          <t>Lines can be built from an inspection only once: instead of asking to confirm a second set, every place shows the result with a link to the work order that got the lines, and a late second Add Lines adds nothing and tells the user where the lines went.</t>
        </is>
      </c>
      <c r="I19" s="7" t="inlineStr">
        <is>
          <t>29 Sep 2026</t>
        </is>
      </c>
      <c r="J19" s="7" t="inlineStr">
        <is>
          <t>29 Sep 2026: "QA contradiction pass answered"</t>
        </is>
      </c>
      <c r="K19" s="7" t="inlineStr">
        <is>
          <t>The change log entry names this rule</t>
        </is>
      </c>
      <c r="L19" s="7" t="inlineStr"/>
      <c r="M19" s="7" t="inlineStr">
        <is>
          <t>Update the steps and expected results to match the new text.</t>
        </is>
      </c>
      <c r="N19" s="6">
        <f>HYPERLINK("https://shopview.atlassian.net/wiki/pages/viewpage.action?pageId=768507905","Spec page")</f>
        <v/>
      </c>
    </row>
    <row r="20">
      <c r="A20" s="6">
        <f>HYPERLINK("https://shopview.testrail.io/index.php?/cases/view/88525","C88525")</f>
        <v/>
      </c>
      <c r="B20" s="7" t="inlineStr">
        <is>
          <t>The note's Build lines is hidden until the inspection is ready</t>
        </is>
      </c>
      <c r="C20" s="7" t="inlineStr">
        <is>
          <t>Yes</t>
        </is>
      </c>
      <c r="D20" s="7" t="inlineStr">
        <is>
          <t>Viktoria (case text) and Vladimir (automation)</t>
        </is>
      </c>
      <c r="E20" s="7" t="inlineStr">
        <is>
          <t>S4-N2</t>
        </is>
      </c>
      <c r="F20" s="7" t="inlineStr">
        <is>
          <t>If the inspection has been deleted, the note remains as a record but the action will not be shown</t>
        </is>
      </c>
      <c r="G20" s="7" t="inlineStr">
        <is>
          <t>If the inspection has been deleted, the note remains as a record but the action will not be shown. Removing an inspection from its line, or deleting the line, deletes the inspection on purpose: it leaves the asset's Inspections tab, and its note stays on the work order marked "Inspection deleted". This is different from deleting the whole work order (S5-E3)</t>
        </is>
      </c>
      <c r="H20" s="7" t="inlineStr">
        <is>
          <t>Adds that removing an inspection from its line, or deleting the line, deletes the inspection on purpose: it leaves the asset's Inspections tab and its note stays on the work order marked 'Inspection deleted'.</t>
        </is>
      </c>
      <c r="I20" s="7" t="inlineStr">
        <is>
          <t>6 Oct 2026</t>
        </is>
      </c>
      <c r="J20" s="7" t="inlineStr">
        <is>
          <t>6 Oct 2026: "Deleted work orders, removed inspections and splits"</t>
        </is>
      </c>
      <c r="K20" s="7" t="inlineStr">
        <is>
          <t>The change log entry names this rule</t>
        </is>
      </c>
      <c r="L20" s="7" t="inlineStr"/>
      <c r="M20" s="7" t="inlineStr">
        <is>
          <t>Update the steps and expected results to match the new text. Vladimir: the automation for this case may check the old behaviour.</t>
        </is>
      </c>
      <c r="N20" s="6">
        <f>HYPERLINK("https://shopview.atlassian.net/wiki/pages/viewpage.action?pageId=768507905","Spec page")</f>
        <v/>
      </c>
    </row>
    <row r="21">
      <c r="A21" s="6">
        <f>HYPERLINK("https://shopview.testrail.io/index.php?/cases/view/88527","C88527")</f>
        <v/>
      </c>
      <c r="B21" s="7" t="inlineStr">
        <is>
          <t>Inspections tab columns: status, findings, work order, report and action</t>
        </is>
      </c>
      <c r="C21" s="7" t="inlineStr">
        <is>
          <t>Yes</t>
        </is>
      </c>
      <c r="D21" s="7" t="inlineStr">
        <is>
          <t>Viktoria (case text) and Vladimir (automation)</t>
        </is>
      </c>
      <c r="E21" s="7" t="inlineStr">
        <is>
          <t>S5-R9</t>
        </is>
      </c>
      <c r="F21" s="7" t="inlineStr">
        <is>
          <t>The action column will have three states. Needs action offers the build described in S6. Done shows the outcome and links to the resulting work order, reading "WO created" when a new work order was created and "Lines added" when the lines went onto the existing one. Nothing to do shows a dash</t>
        </is>
      </c>
      <c r="G21" s="7" t="inlineStr">
        <is>
          <t>The action column will have three states. Needs action offers the build described in S6. Done shows the outcome and links to the resulting work order, reading "WO created" when a new work order was created and "Lines added" when the lines went onto the existing one. Nothing to do shows a dash. The same wording is used wherever the outcome replaces the build action (S2-R13)</t>
        </is>
      </c>
      <c r="H21" s="7" t="inlineStr">
        <is>
          <t>Adds that the same result wording ('WO created' / 'Lines added') is used everywhere the result replaces the build action.</t>
        </is>
      </c>
      <c r="I21" s="7" t="inlineStr">
        <is>
          <t>29 Sep 2026</t>
        </is>
      </c>
      <c r="J21" s="7" t="inlineStr">
        <is>
          <t>29 Sep 2026: "QA contradiction pass answered"</t>
        </is>
      </c>
      <c r="K21" s="7" t="inlineStr">
        <is>
          <t>The change log entry describes this change</t>
        </is>
      </c>
      <c r="L21" s="7" t="inlineStr"/>
      <c r="M21" s="7" t="inlineStr">
        <is>
          <t>Update the steps and expected results to match the new text. Vladimir: the automation for this case may check the old behaviour.</t>
        </is>
      </c>
      <c r="N21" s="6">
        <f>HYPERLINK("https://shopview.atlassian.net/wiki/pages/viewpage.action?pageId=768507905","Spec page")</f>
        <v/>
      </c>
    </row>
    <row r="22">
      <c r="A22" s="6">
        <f>HYPERLINK("https://shopview.testrail.io/index.php?/cases/view/88528","C88528")</f>
        <v/>
      </c>
      <c r="B22" s="7" t="inlineStr">
        <is>
          <t>Inspections tab filters, summary line and needs-action counts</t>
        </is>
      </c>
      <c r="C22" s="7" t="inlineStr">
        <is>
          <t>Yes</t>
        </is>
      </c>
      <c r="D22" s="7" t="inlineStr">
        <is>
          <t>Viktoria (case text) and Vladimir (automation)</t>
        </is>
      </c>
      <c r="E22" s="7" t="inlineStr">
        <is>
          <t>S5-R10</t>
        </is>
      </c>
      <c r="F22" s="7" t="inlineStr">
        <is>
          <t>A filter row will offer All, Needs action, With issues and Not started, each with a count taken from the full list rather than from the filtered view</t>
        </is>
      </c>
      <c r="G22" s="7" t="inlineStr">
        <is>
          <t>The table has no filter row. The Inspection, Status and Completed columns can be sorted. By default the most recently completed inspection comes first (S5-R2)</t>
        </is>
      </c>
      <c r="H22" s="7" t="inlineStr">
        <is>
          <t>The asset's Inspections tab no longer has a filter row (All, Needs action, With issues, Not started); instead the Inspection, Status and Completed columns can be sorted, with the most recently completed inspection first by default.</t>
        </is>
      </c>
      <c r="I22" s="7" t="inlineStr">
        <is>
          <t>5 Oct 2026</t>
        </is>
      </c>
      <c r="J22" s="7" t="inlineStr">
        <is>
          <t>5 Oct 2026: "Developer and QA questions answered"
Also: 29 Sep 2026: "QA contradiction pass answered"; 7 Oct 2026: "Filter leftovers removed"</t>
        </is>
      </c>
      <c r="K22" s="7" t="inlineStr">
        <is>
          <t>The change log entry describes this change</t>
        </is>
      </c>
      <c r="L22" s="7" t="inlineStr"/>
      <c r="M22" s="7" t="inlineStr">
        <is>
          <t>Update the steps and expected results to match the new text. Vladimir: the automation for this case may check the old behaviour.</t>
        </is>
      </c>
      <c r="N22" s="6">
        <f>HYPERLINK("https://shopview.atlassian.net/wiki/pages/viewpage.action?pageId=768507905","Spec page")</f>
        <v/>
      </c>
    </row>
    <row r="23">
      <c r="A23" s="6">
        <f>HYPERLINK("https://shopview.testrail.io/index.php?/cases/view/88528","C88528")</f>
        <v/>
      </c>
      <c r="B23" s="7" t="inlineStr">
        <is>
          <t>Inspections tab filters, summary line and needs-action counts</t>
        </is>
      </c>
      <c r="C23" s="7" t="inlineStr">
        <is>
          <t>Yes</t>
        </is>
      </c>
      <c r="D23" s="7" t="inlineStr">
        <is>
          <t>Viktoria (case text) and Vladimir (automation)</t>
        </is>
      </c>
      <c r="E23" s="7" t="inlineStr">
        <is>
          <t>S5-R11</t>
        </is>
      </c>
      <c r="F23" s="7" t="inlineStr">
        <is>
          <t>A summary will read "N of M need a work order"</t>
        </is>
      </c>
      <c r="G23" s="7" t="inlineStr">
        <is>
          <t>A summary will read "N of M have findings with no lines yet"</t>
        </is>
      </c>
      <c r="H23" s="7" t="inlineStr">
        <is>
          <t>The summary line now reads 'N of M have findings with no lines yet' instead of 'N of M need a work order'.</t>
        </is>
      </c>
      <c r="I23" s="7" t="inlineStr">
        <is>
          <t>between 29 Sep 2026 and 2 Oct 2026</t>
        </is>
      </c>
      <c r="J23" s="7" t="inlineStr"/>
      <c r="K23" s="7" t="inlineStr">
        <is>
          <t>Not named in the change log; Jira SV-10792 (2 Oct 2026) already quotes the new text</t>
        </is>
      </c>
      <c r="L23" s="7" t="inlineStr"/>
      <c r="M23" s="7" t="inlineStr">
        <is>
          <t>Update the steps and expected results to match the new text. Vladimir: the automation for this case may check the old behaviour.</t>
        </is>
      </c>
      <c r="N23" s="6">
        <f>HYPERLINK("https://shopview.atlassian.net/wiki/pages/viewpage.action?pageId=768507905","Spec page")</f>
        <v/>
      </c>
    </row>
    <row r="24">
      <c r="A24" s="6">
        <f>HYPERLINK("https://shopview.testrail.io/index.php?/cases/view/88528","C88528")</f>
        <v/>
      </c>
      <c r="B24" s="7" t="inlineStr">
        <is>
          <t>Inspections tab filters, summary line and needs-action counts</t>
        </is>
      </c>
      <c r="C24" s="7" t="inlineStr">
        <is>
          <t>Yes</t>
        </is>
      </c>
      <c r="D24" s="7" t="inlineStr">
        <is>
          <t>Viktoria (case text) and Vladimir (automation)</t>
        </is>
      </c>
      <c r="E24" s="7" t="inlineStr">
        <is>
          <t>S5-R12</t>
        </is>
      </c>
      <c r="F24" s="7" t="inlineStr">
        <is>
          <t>An inspection needs action when it was completed after this release, has at least one Monitor or Not OK finding, and has not been built from. An inspection completed before the release is never flagged, because the data cannot tell one somebody already handled by hand from one nobody actioned. Those stay reachable through the With issues filter</t>
        </is>
      </c>
      <c r="G24" s="7" t="inlineStr">
        <is>
          <t>An inspection needs action when it was completed after this release, has at least one Monitor or Not OK finding, and has not been built from. An inspection completed before the release is never flagged, because the data cannot tell one somebody already handled by hand from one nobody actioned. Those stay listed on the tab, with their issues shown</t>
        </is>
      </c>
      <c r="H24" s="7" t="inlineStr">
        <is>
          <t>Inspections completed before the release now stay listed on the tab with their issues shown, instead of being reachable through the With issues filter.</t>
        </is>
      </c>
      <c r="I24" s="7" t="inlineStr">
        <is>
          <t>7 Oct 2026</t>
        </is>
      </c>
      <c r="J24" s="7" t="inlineStr">
        <is>
          <t>7 Oct 2026: "Filter leftovers removed"</t>
        </is>
      </c>
      <c r="K24" s="7" t="inlineStr">
        <is>
          <t>The change log entry describes this change</t>
        </is>
      </c>
      <c r="L24" s="7" t="inlineStr"/>
      <c r="M24" s="7" t="inlineStr">
        <is>
          <t>Update the steps and expected results to match the new text. Vladimir: the automation for this case may check the old behaviour.</t>
        </is>
      </c>
      <c r="N24" s="6">
        <f>HYPERLINK("https://shopview.atlassian.net/wiki/pages/viewpage.action?pageId=768507905","Spec page")</f>
        <v/>
      </c>
    </row>
    <row r="25">
      <c r="A25" s="6">
        <f>HYPERLINK("https://shopview.testrail.io/index.php?/cases/view/88529","C88529")</f>
        <v/>
      </c>
      <c r="B25" s="7" t="inlineStr">
        <is>
          <t>Inspections tab links and buttons, phone use, and the inspection's asset</t>
        </is>
      </c>
      <c r="C25" s="7" t="inlineStr">
        <is>
          <t>Yes</t>
        </is>
      </c>
      <c r="D25" s="7" t="inlineStr">
        <is>
          <t>Viktoria (case text) and Vladimir (automation)</t>
        </is>
      </c>
      <c r="E25" s="7" t="inlineStr">
        <is>
          <t>S5-R16</t>
        </is>
      </c>
      <c r="F25" s="7" t="inlineStr">
        <is>
          <t>The filter row will wrap on a phone rather than scrolling out of view, and will keep its counts</t>
        </is>
      </c>
      <c r="G25" s="7" t="inlineStr">
        <is>
          <t>(removed from the spec)</t>
        </is>
      </c>
      <c r="H25" s="7" t="inlineStr">
        <is>
          <t>Removed: the phone rule that the filter row on the asset's Inspections tab wraps and keeps its counts, because the tab no longer has a filter row.</t>
        </is>
      </c>
      <c r="I25" s="7" t="inlineStr">
        <is>
          <t>29 Sep 2026</t>
        </is>
      </c>
      <c r="J25" s="7" t="inlineStr">
        <is>
          <t>29 Sep 2026: "QA contradiction pass answered"
Also: 7 Oct 2026: "Filter leftovers removed"</t>
        </is>
      </c>
      <c r="K25" s="7" t="inlineStr">
        <is>
          <t>The change log entry describes this change</t>
        </is>
      </c>
      <c r="L25" s="7" t="inlineStr"/>
      <c r="M25" s="7" t="inlineStr">
        <is>
          <t>The spec no longer has this rule. Remove or rewrite the steps and expected results that check it. Vladimir: the automation for this case may check the old behaviour.</t>
        </is>
      </c>
      <c r="N25" s="6">
        <f>HYPERLINK("https://shopview.atlassian.net/wiki/pages/viewpage.action?pageId=768507905","Spec page")</f>
        <v/>
      </c>
    </row>
    <row r="26">
      <c r="A26" s="6">
        <f>HYPERLINK("https://shopview.testrail.io/index.php?/cases/view/88529","C88529")</f>
        <v/>
      </c>
      <c r="B26" s="7" t="inlineStr">
        <is>
          <t>Inspections tab links and buttons, phone use, and the inspection's asset</t>
        </is>
      </c>
      <c r="C26" s="7" t="inlineStr">
        <is>
          <t>Yes</t>
        </is>
      </c>
      <c r="D26" s="7" t="inlineStr">
        <is>
          <t>Viktoria (case text) and Vladimir (automation)</t>
        </is>
      </c>
      <c r="E26" s="7" t="inlineStr">
        <is>
          <t>S5-R21</t>
        </is>
      </c>
      <c r="F26" s="7" t="inlineStr">
        <is>
          <t>An inspection records the asset it was run on, stored on the inspection when it is created rather than derived through its work order. A work order carries exactly one asset and that asset can be changed later, so this tab is a record of what was inspected rather than a view that follows a later correction. Inspections that exist before this release are backfilled from their work order’s asset at migration, without which this tab cannot show history</t>
        </is>
      </c>
      <c r="G26" s="7" t="inlineStr">
        <is>
          <t>The tab lists the inspections whose work order is on this asset now, so it follows the work order when the work order's asset is changed or two assets are merged. The asset an inspection was run on is also stored on the inspection when it is created, as a record. Inspections that exist before this release are backfilled from their work order's asset at migration. When the work order has been deleted, the stored asset is used (S5-E3). Merging assets moves such inspections to the surviving asset, as it moves the work orders</t>
        </is>
      </c>
      <c r="H26" s="7" t="inlineStr">
        <is>
          <t>The asset's Inspections tab now lists the inspections whose work order is on this asset now, so it follows the work order when its asset is changed or assets are merged; the asset stored on the inspection is kept as a record and used when the work order has been deleted, and merging assets moves such inspections to the surviving asset.</t>
        </is>
      </c>
      <c r="I26" s="7" t="inlineStr">
        <is>
          <t>5 Oct 2026</t>
        </is>
      </c>
      <c r="J26" s="7" t="inlineStr">
        <is>
          <t>5 Oct 2026: "Developer and QA questions answered"
Also: 7 Oct 2026: "Deleted work order: outcome, footer, reopened, merge (SV-10965)"</t>
        </is>
      </c>
      <c r="K26" s="7" t="inlineStr">
        <is>
          <t>The change log entry describes this change</t>
        </is>
      </c>
      <c r="L26" s="6">
        <f>HYPERLINK("https://shopview.atlassian.net/browse/SV-10965","SV-10965")</f>
        <v/>
      </c>
      <c r="M26" s="7" t="inlineStr">
        <is>
          <t>Update the steps and expected results to match the new text. Vladimir: the automation for this case may check the old behaviour.</t>
        </is>
      </c>
      <c r="N26" s="6">
        <f>HYPERLINK("https://shopview.atlassian.net/wiki/pages/viewpage.action?pageId=768507905","Spec page")</f>
        <v/>
      </c>
    </row>
    <row r="27">
      <c r="A27" s="6">
        <f>HYPERLINK("https://shopview.testrail.io/index.php?/cases/view/88530","C88530")</f>
        <v/>
      </c>
      <c r="B27" s="7" t="inlineStr">
        <is>
          <t>How findings are counted, once per axle</t>
        </is>
      </c>
      <c r="C27" s="7" t="inlineStr">
        <is>
          <t>No</t>
        </is>
      </c>
      <c r="D27" s="7" t="inlineStr">
        <is>
          <t>Viktoria (case text)</t>
        </is>
      </c>
      <c r="E27" s="7" t="inlineStr">
        <is>
          <t>S5-R17</t>
        </is>
      </c>
      <c r="F27" s="7" t="inlineStr">
        <is>
          <t>A response contributes one count to exactly one of Pass, Monitor or Needs attention when the field is visible, the field is a checkbox or a measurement, and the response is Pass, Monitor or Not OK</t>
        </is>
      </c>
      <c r="G27" s="7" t="inlineStr">
        <is>
          <t>A response contributes one count to exactly one of Pass, Monitor or Needs attention when the field is a checkbox or a measurement and the response is Pass, Monitor or Not OK</t>
        </is>
      </c>
      <c r="H27" s="7" t="inlineStr">
        <is>
          <t>The counting rule no longer says the field must be visible: a checkbox or measurement answer of Pass, Monitor or Not OK counts once.</t>
        </is>
      </c>
      <c r="I27" s="7" t="inlineStr">
        <is>
          <t>between 29 Sep 2026 and 13 Oct 2026</t>
        </is>
      </c>
      <c r="J27" s="7" t="inlineStr"/>
      <c r="K27" s="7" t="inlineStr">
        <is>
          <t>Not named in the change log; changed between 29 Sep and 13 Oct</t>
        </is>
      </c>
      <c r="L27" s="7" t="inlineStr"/>
      <c r="M27" s="7" t="inlineStr">
        <is>
          <t>Update the steps and expected results to match the new text.</t>
        </is>
      </c>
      <c r="N27" s="6">
        <f>HYPERLINK("https://shopview.atlassian.net/wiki/pages/viewpage.action?pageId=768507905","Spec page")</f>
        <v/>
      </c>
    </row>
    <row r="28">
      <c r="A28" s="6">
        <f>HYPERLINK("https://shopview.testrail.io/index.php?/cases/view/88530","C88530")</f>
        <v/>
      </c>
      <c r="B28" s="7" t="inlineStr">
        <is>
          <t>How findings are counted, once per axle</t>
        </is>
      </c>
      <c r="C28" s="7" t="inlineStr">
        <is>
          <t>No</t>
        </is>
      </c>
      <c r="D28" s="7" t="inlineStr">
        <is>
          <t>Viktoria (case text)</t>
        </is>
      </c>
      <c r="E28" s="7" t="inlineStr">
        <is>
          <t>S5-R20</t>
        </is>
      </c>
      <c r="F28" s="7" t="inlineStr">
        <is>
          <t>A per-axle measurement field contributes one count per axle, because each axle is a separate inspected position. A field with three axles marked OK, Monitor and Not OK contributes one pass, one monitor and one needs-attention</t>
        </is>
      </c>
      <c r="G28" s="7" t="inlineStr">
        <is>
          <t>A per-axle measurement field contributes one count per axle, carrying that axle's worst verdict (S8-R14). A field with three axles marked OK, Monitor and Not OK contributes one pass, one monitor and one needs-attention</t>
        </is>
      </c>
      <c r="H28" s="7" t="inlineStr">
        <is>
          <t>Adds that each axle's single count carries that axle's worst verdict.</t>
        </is>
      </c>
      <c r="I28" s="7" t="inlineStr">
        <is>
          <t>between 29 Sep 2026 and 13 Oct 2026</t>
        </is>
      </c>
      <c r="J28" s="7" t="inlineStr"/>
      <c r="K28" s="7" t="inlineStr">
        <is>
          <t>Not named in the change log; changed between 29 Sep and 13 Oct</t>
        </is>
      </c>
      <c r="L28" s="7" t="inlineStr"/>
      <c r="M28" s="7" t="inlineStr">
        <is>
          <t>Update the steps and expected results to match the new text.</t>
        </is>
      </c>
      <c r="N28" s="6">
        <f>HYPERLINK("https://shopview.atlassian.net/wiki/pages/viewpage.action?pageId=768507905","Spec page")</f>
        <v/>
      </c>
    </row>
    <row r="29">
      <c r="A29" s="6">
        <f>HYPERLINK("https://shopview.testrail.io/index.php?/cases/view/88532","C88532")</f>
        <v/>
      </c>
      <c r="B29" s="7" t="inlineStr">
        <is>
          <t>Inspections tab with not-started, all N/A, deleted, moved and many inspections</t>
        </is>
      </c>
      <c r="C29" s="7" t="inlineStr">
        <is>
          <t>Yes</t>
        </is>
      </c>
      <c r="D29" s="7" t="inlineStr">
        <is>
          <t>Viktoria (case text) and Vladimir (automation)</t>
        </is>
      </c>
      <c r="E29" s="7" t="inlineStr">
        <is>
          <t>S5-E3</t>
        </is>
      </c>
      <c r="F29" s="7" t="inlineStr">
        <is>
          <t>If the work order the inspection was run on has been deleted, the inspection remains listed, the work order column shows a dash rather than a broken link, and the row remains usable. This requires an inspection to outlive its work order rather than being removed with it</t>
        </is>
      </c>
      <c r="G29" s="7" t="inlineStr">
        <is>
          <t>If the work order the inspection was run on is deleted, an inspection that has a report stays on the asset's Inspections tab as a read-only record, with a dash in the Work order column. The Action column shows the outcome only while the work order it points to exists, for example 'WO created S-200' when the lines went onto another work order; when they went onto the deleted work order itself, it shows a dash. It can be opened and its latest report downloaded. It cannot be built from, reopened or regenerated. A reopened inspection survives as its latest report: Status reads Completed, Completed shows the date of that report, and opening the row opens that report rather than the answers, which may have changed since. Deleting a work order must not delete such an inspection, its photos or its report. An inspection with no report, including one that was submitted but whose report was never generated, is deleted with its work order</t>
        </is>
      </c>
      <c r="H29" s="7" t="inlineStr">
        <is>
          <t>When the work order is deleted, only an inspection with a report stays on the tab, read-only, with a dash for the work order; the Action column shows the result only while the work order it points to exists; it can be opened and its latest report downloaded but not built from, reopened or regenerated; a reopened one shows as Completed on its latest report's date and opens that report; an inspection with no report is deleted with the work order.</t>
        </is>
      </c>
      <c r="I29" s="7" t="inlineStr">
        <is>
          <t>6 Oct 2026</t>
        </is>
      </c>
      <c r="J29" s="7" t="inlineStr">
        <is>
          <t>6 Oct 2026: "Deleted work orders, removed inspections and splits"
Also: 7 Oct 2026: "Deleted work order after a build"; 7 Oct 2026: "Deleted work order: outcome, footer, reopened, merge (SV-10965)"</t>
        </is>
      </c>
      <c r="K29" s="7" t="inlineStr">
        <is>
          <t>The change log entry describes this change</t>
        </is>
      </c>
      <c r="L29" s="6">
        <f>HYPERLINK("https://shopview.atlassian.net/browse/SV-10965","SV-10965")</f>
        <v/>
      </c>
      <c r="M29" s="7" t="inlineStr">
        <is>
          <t>Update the steps and expected results to match the new text. Vladimir: the automation for this case may check the old behaviour.</t>
        </is>
      </c>
      <c r="N29" s="6">
        <f>HYPERLINK("https://shopview.atlassian.net/wiki/pages/viewpage.action?pageId=768507905","Spec page")</f>
        <v/>
      </c>
    </row>
    <row r="30">
      <c r="A30" s="6">
        <f>HYPERLINK("https://shopview.testrail.io/index.php?/cases/view/88533","C88533")</f>
        <v/>
      </c>
      <c r="B30" s="7" t="inlineStr">
        <is>
          <t>Build lines from a needs-action row, with the same work order choice</t>
        </is>
      </c>
      <c r="C30" s="7" t="inlineStr">
        <is>
          <t>Yes</t>
        </is>
      </c>
      <c r="D30" s="7" t="inlineStr">
        <is>
          <t>Viktoria (case text) and Vladimir (automation)</t>
        </is>
      </c>
      <c r="E30" s="7" t="inlineStr">
        <is>
          <t>S2-R15</t>
        </is>
      </c>
      <c r="F30" s="7" t="inlineStr">
        <is>
          <t>A destination that cannot take lines will keep its place in the menu and say why. A destination that silently stops being offered reads as a fault</t>
        </is>
      </c>
      <c r="G30" s="7" t="inlineStr">
        <is>
          <t>(removed from the spec)</t>
        </is>
      </c>
      <c r="H30" s="7" t="inlineStr">
        <is>
          <t>Removed: a destination that cannot take lines no longer stays in the menu with a reason; it is simply not shown.</t>
        </is>
      </c>
      <c r="I30" s="7" t="inlineStr">
        <is>
          <t>29 Sep 2026</t>
        </is>
      </c>
      <c r="J30" s="7" t="inlineStr">
        <is>
          <t>29 Sep 2026: "QA contradiction pass answered"</t>
        </is>
      </c>
      <c r="K30" s="7" t="inlineStr">
        <is>
          <t>The change log entry describes this change</t>
        </is>
      </c>
      <c r="L30" s="7" t="inlineStr"/>
      <c r="M30" s="7" t="inlineStr">
        <is>
          <t>The spec no longer has this rule. Remove or rewrite the steps and expected results that check it. Vladimir: the automation for this case may check the old behaviour.</t>
        </is>
      </c>
      <c r="N30" s="6">
        <f>HYPERLINK("https://shopview.atlassian.net/wiki/pages/viewpage.action?pageId=768507905","Spec page")</f>
        <v/>
      </c>
    </row>
    <row r="31">
      <c r="A31" s="6">
        <f>HYPERLINK("https://shopview.testrail.io/index.php?/cases/view/88533","C88533")</f>
        <v/>
      </c>
      <c r="B31" s="7" t="inlineStr">
        <is>
          <t>Build lines from a needs-action row, with the same work order choice</t>
        </is>
      </c>
      <c r="C31" s="7" t="inlineStr">
        <is>
          <t>Yes</t>
        </is>
      </c>
      <c r="D31" s="7" t="inlineStr">
        <is>
          <t>Viktoria (case text) and Vladimir (automation)</t>
        </is>
      </c>
      <c r="E31" s="7" t="inlineStr">
        <is>
          <t>S2-R5</t>
        </is>
      </c>
      <c r="F31" s="7" t="inlineStr">
        <is>
          <t>When the work order the inspection was run on is not an eligible build target, the system will create a new work order without asking. It is ineligible when its status is Complete, Invoiced, Paid or Declined, or when an invoice already exists. Declined counts as ineligible because lines added to a refused order would revive work the customer turned down</t>
        </is>
      </c>
      <c r="G31" s="7" t="inlineStr">
        <is>
          <t>When the work order the inspection was run on is not an eligible build target, the destination menu still opens and offers only a new work order. It is ineligible when its status is Complete, Invoiced, Paid or Declined, or when an invoice already exists. Declined counts as ineligible because lines added to a refused order would revive work the customer turned down</t>
        </is>
      </c>
      <c r="H31" s="7" t="inlineStr">
        <is>
          <t>When the inspection's own work order cannot take lines, the destination menu still opens and offers only a new work order, instead of a new work order being created without asking.</t>
        </is>
      </c>
      <c r="I31" s="7" t="inlineStr">
        <is>
          <t>29 Sep 2026</t>
        </is>
      </c>
      <c r="J31" s="7" t="inlineStr">
        <is>
          <t>29 Sep 2026: "QA contradiction pass answered"</t>
        </is>
      </c>
      <c r="K31" s="7" t="inlineStr">
        <is>
          <t>The change log entry describes this change</t>
        </is>
      </c>
      <c r="L31" s="7" t="inlineStr"/>
      <c r="M31" s="7" t="inlineStr">
        <is>
          <t>Update the steps and expected results to match the new text. Vladimir: the automation for this case may check the old behaviour.</t>
        </is>
      </c>
      <c r="N31" s="6">
        <f>HYPERLINK("https://shopview.atlassian.net/wiki/pages/viewpage.action?pageId=768507905","Spec page")</f>
        <v/>
      </c>
    </row>
    <row r="32">
      <c r="A32" s="6">
        <f>HYPERLINK("https://shopview.testrail.io/index.php?/cases/view/88533","C88533")</f>
        <v/>
      </c>
      <c r="B32" s="7" t="inlineStr">
        <is>
          <t>Build lines from a needs-action row, with the same work order choice</t>
        </is>
      </c>
      <c r="C32" s="7" t="inlineStr">
        <is>
          <t>Yes</t>
        </is>
      </c>
      <c r="D32" s="7" t="inlineStr">
        <is>
          <t>Viktoria (case text) and Vladimir (automation)</t>
        </is>
      </c>
      <c r="E32" s="7" t="inlineStr">
        <is>
          <t>S6-R4</t>
        </is>
      </c>
      <c r="F32" s="7" t="inlineStr">
        <is>
          <t>The inspection's own work order is offered as a target only while it is an eligible build target, judged by its status on the row. When it is not, the target keeps its place and says why (S2-R15)</t>
        </is>
      </c>
      <c r="G32" s="7" t="inlineStr">
        <is>
          <t>The inspection's own work order is offered as a target only while it is an eligible build target, judged by its status on the row. When it is not, it is not offered (S2-R5)</t>
        </is>
      </c>
      <c r="H32" s="7" t="inlineStr">
        <is>
          <t>When the inspection's own work order cannot take lines, it is now left out of the menu instead of staying there with a reason.</t>
        </is>
      </c>
      <c r="I32" s="7" t="inlineStr">
        <is>
          <t>29 Sep 2026</t>
        </is>
      </c>
      <c r="J32" s="7" t="inlineStr">
        <is>
          <t>29 Sep 2026: "QA contradiction pass answered"</t>
        </is>
      </c>
      <c r="K32" s="7" t="inlineStr">
        <is>
          <t>The change log entry describes this change</t>
        </is>
      </c>
      <c r="L32" s="7" t="inlineStr"/>
      <c r="M32" s="7" t="inlineStr">
        <is>
          <t>Update the steps and expected results to match the new text. Vladimir: the automation for this case may check the old behaviour.</t>
        </is>
      </c>
      <c r="N32" s="6">
        <f>HYPERLINK("https://shopview.atlassian.net/wiki/pages/viewpage.action?pageId=768507905","Spec page")</f>
        <v/>
      </c>
    </row>
    <row r="33">
      <c r="A33" s="6">
        <f>HYPERLINK("https://shopview.testrail.io/index.php?/cases/view/88534","C88534")</f>
        <v/>
      </c>
      <c r="B33" s="7" t="inlineStr">
        <is>
          <t>After building, the row shows the result and the counts update</t>
        </is>
      </c>
      <c r="C33" s="7" t="inlineStr">
        <is>
          <t>No</t>
        </is>
      </c>
      <c r="D33" s="7" t="inlineStr">
        <is>
          <t>Viktoria (case text)</t>
        </is>
      </c>
      <c r="E33" s="7" t="inlineStr">
        <is>
          <t>S6-R7</t>
        </is>
      </c>
      <c r="F33" s="7" t="inlineStr">
        <is>
          <t>After a successful build, the row will leave the Needs action filter and the counts and summary will update with it</t>
        </is>
      </c>
      <c r="G33" s="7" t="inlineStr">
        <is>
          <t>After a successful build, the row will show its outcome instead of the action, and the counts and the summary line will update with it</t>
        </is>
      </c>
      <c r="H33" s="7" t="inlineStr">
        <is>
          <t>After a build, the row now shows its result in place of the build action (instead of leaving the Needs action filter), and the counts and the summary line update.</t>
        </is>
      </c>
      <c r="I33" s="7" t="inlineStr">
        <is>
          <t>7 Oct 2026</t>
        </is>
      </c>
      <c r="J33" s="7" t="inlineStr">
        <is>
          <t>7 Oct 2026: "Filter leftovers removed"</t>
        </is>
      </c>
      <c r="K33" s="7" t="inlineStr">
        <is>
          <t>The change log entry describes this change</t>
        </is>
      </c>
      <c r="L33" s="7" t="inlineStr"/>
      <c r="M33" s="7" t="inlineStr">
        <is>
          <t>Update the steps and expected results to match the new text.</t>
        </is>
      </c>
      <c r="N33" s="6">
        <f>HYPERLINK("https://shopview.atlassian.net/wiki/pages/viewpage.action?pageId=768507905","Spec page")</f>
        <v/>
      </c>
    </row>
    <row r="34">
      <c r="A34" s="6">
        <f>HYPERLINK("https://shopview.testrail.io/index.php?/cases/view/88536","C88536")</f>
        <v/>
      </c>
      <c r="B34" s="7" t="inlineStr">
        <is>
          <t>Row build with a deleted work order, per row, or a row you can't start</t>
        </is>
      </c>
      <c r="C34" s="7" t="inlineStr">
        <is>
          <t>Yes</t>
        </is>
      </c>
      <c r="D34" s="7" t="inlineStr">
        <is>
          <t>Viktoria (case text) and Vladimir (automation)</t>
        </is>
      </c>
      <c r="E34" s="7" t="inlineStr">
        <is>
          <t>S6-E1</t>
        </is>
      </c>
      <c r="F34" s="7" t="inlineStr">
        <is>
          <t>If the work order the inspection was run on has been deleted, only the new-work-order target is offered</t>
        </is>
      </c>
      <c r="G34" s="7" t="inlineStr">
        <is>
          <t>If the work order the inspection was run on has been deleted, the row offers no build action and its action cell shows a dash, or the outcome if it was built from before the deletion (S5-E3)</t>
        </is>
      </c>
      <c r="H34" s="7" t="inlineStr">
        <is>
          <t>When the inspection's work order has been deleted, the row offers no build action and shows a dash, or the result if it was built from before the deletion (before, only the new work order target was offered).</t>
        </is>
      </c>
      <c r="I34" s="7" t="inlineStr">
        <is>
          <t>6 Oct 2026</t>
        </is>
      </c>
      <c r="J34" s="7" t="inlineStr">
        <is>
          <t>6 Oct 2026: "Deleted work orders, removed inspections and splits"
Also: 7 Oct 2026: "Deleted work order after a build"</t>
        </is>
      </c>
      <c r="K34" s="7" t="inlineStr">
        <is>
          <t>The change log entry describes this change</t>
        </is>
      </c>
      <c r="L34" s="7" t="inlineStr"/>
      <c r="M34" s="7" t="inlineStr">
        <is>
          <t>Update the steps and expected results to match the new text. Vladimir: the automation for this case may check the old behaviour.</t>
        </is>
      </c>
      <c r="N34" s="6">
        <f>HYPERLINK("https://shopview.atlassian.net/wiki/pages/viewpage.action?pageId=768507905","Spec page")</f>
        <v/>
      </c>
    </row>
    <row r="35">
      <c r="A35" s="6">
        <f>HYPERLINK("https://shopview.testrail.io/index.php?/cases/view/88536","C88536")</f>
        <v/>
      </c>
      <c r="B35" s="7" t="inlineStr">
        <is>
          <t>Row build with a deleted work order, per row, or a row you can't start</t>
        </is>
      </c>
      <c r="C35" s="7" t="inlineStr">
        <is>
          <t>Yes</t>
        </is>
      </c>
      <c r="D35" s="7" t="inlineStr">
        <is>
          <t>Viktoria (case text) and Vladimir (automation)</t>
        </is>
      </c>
      <c r="E35" s="7" t="inlineStr">
        <is>
          <t>S6-E3</t>
        </is>
      </c>
      <c r="F35" s="7" t="inlineStr">
        <is>
          <t>A user who can fill inspections but cannot create work orders, looking at a row whose work order is closed, has no available action. The row will show a dash with an explanation that creating a work order requires 'Work Orders — Create &amp; Edit'. The explanation must be readable on a phone, where there is no hover</t>
        </is>
      </c>
      <c r="G35" s="7" t="inlineStr">
        <is>
          <t>A user who can fill inspections but cannot create work orders, looking at a row whose work order is closed, has no available action. The row shows a dash</t>
        </is>
      </c>
      <c r="H35" s="7" t="inlineStr">
        <is>
          <t>For a user who can fill inspections but cannot create work orders, a row whose work order is closed now just shows a dash; the explanation about the 'Work Orders — Create &amp; Edit' permission (readable on a phone) is dropped.</t>
        </is>
      </c>
      <c r="I35" s="7" t="inlineStr">
        <is>
          <t>between 29 Sep 2026 and 13 Oct 2026</t>
        </is>
      </c>
      <c r="J35" s="7" t="inlineStr"/>
      <c r="K35" s="7" t="inlineStr">
        <is>
          <t>Not named in the change log; changed between 29 Sep and 13 Oct</t>
        </is>
      </c>
      <c r="L35" s="7" t="inlineStr"/>
      <c r="M35" s="7" t="inlineStr">
        <is>
          <t>Update the steps and expected results to match the new text. Vladimir: the automation for this case may check the old behaviour.</t>
        </is>
      </c>
      <c r="N35" s="6">
        <f>HYPERLINK("https://shopview.atlassian.net/wiki/pages/viewpage.action?pageId=768507905","Spec page")</f>
        <v/>
      </c>
    </row>
    <row r="36">
      <c r="A36" s="6">
        <f>HYPERLINK("https://shopview.testrail.io/index.php?/cases/view/88537","C88537")</f>
        <v/>
      </c>
      <c r="B36" s="7" t="inlineStr">
        <is>
          <t>A work order note says its lines were built from an inspection</t>
        </is>
      </c>
      <c r="C36" s="7" t="inlineStr">
        <is>
          <t>Yes</t>
        </is>
      </c>
      <c r="D36" s="7" t="inlineStr">
        <is>
          <t>Viktoria (case text) and Vladimir (automation)</t>
        </is>
      </c>
      <c r="E36" s="7" t="inlineStr">
        <is>
          <t>S7-R2</t>
        </is>
      </c>
      <c r="F36" s="7" t="inlineStr">
        <is>
          <t>When the lines went onto a new work order, the note will link back to the work order the inspection was run on</t>
        </is>
      </c>
      <c r="G36" s="7" t="inlineStr">
        <is>
          <t>When the lines went onto a new work order, the note will link back to the work order the inspection was run on. If that work order was deleted after the build, the note shows its number as text, tagged 'Work order deleted', with no link</t>
        </is>
      </c>
      <c r="H36" s="7" t="inlineStr">
        <is>
          <t>Adds that if the original work order was deleted after the build, the note shows its number as plain text tagged 'Work order deleted', with no link.</t>
        </is>
      </c>
      <c r="I36" s="7" t="inlineStr">
        <is>
          <t>7 Oct 2026</t>
        </is>
      </c>
      <c r="J36" s="7" t="inlineStr">
        <is>
          <t>7 Oct 2026: "Deleted work order after a build"</t>
        </is>
      </c>
      <c r="K36" s="7" t="inlineStr">
        <is>
          <t>The change log entry describes this change</t>
        </is>
      </c>
      <c r="L36" s="7" t="inlineStr"/>
      <c r="M36" s="7" t="inlineStr">
        <is>
          <t>Update the steps and expected results to match the new text. Vladimir: the automation for this case may check the old behaviour.</t>
        </is>
      </c>
      <c r="N36" s="6">
        <f>HYPERLINK("https://shopview.atlassian.net/wiki/pages/viewpage.action?pageId=768507905","Spec page")</f>
        <v/>
      </c>
    </row>
    <row r="37">
      <c r="A37" s="6">
        <f>HYPERLINK("https://shopview.testrail.io/index.php?/cases/view/88538","C88538")</f>
        <v/>
      </c>
      <c r="B37" s="7" t="inlineStr">
        <is>
          <t>The Audit Log records each build, wherever it was started</t>
        </is>
      </c>
      <c r="C37" s="7" t="inlineStr">
        <is>
          <t>Yes</t>
        </is>
      </c>
      <c r="D37" s="7" t="inlineStr">
        <is>
          <t>Viktoria (case text) and Vladimir (automation)</t>
        </is>
      </c>
      <c r="E37" s="7" t="inlineStr">
        <is>
          <t>S7-R5</t>
        </is>
      </c>
      <c r="F37" s="7" t="inlineStr">
        <is>
          <t>The Audit Log entry will name the inspection, link to it, and name the work order the inspection was run on</t>
        </is>
      </c>
      <c r="G37" s="7" t="inlineStr">
        <is>
          <t>The Audit Log entry will name the inspection, link to it, and name the work order the inspection was run on. If that work order was deleted after the build, its number is shown as text, with no link</t>
        </is>
      </c>
      <c r="H37" s="7" t="inlineStr">
        <is>
          <t>Adds that if the original work order was deleted after the build, the Audit Log entry shows its number as plain text, with no link.</t>
        </is>
      </c>
      <c r="I37" s="7" t="inlineStr">
        <is>
          <t>7 Oct 2026</t>
        </is>
      </c>
      <c r="J37" s="7" t="inlineStr">
        <is>
          <t>7 Oct 2026: "Deleted work order after a build"</t>
        </is>
      </c>
      <c r="K37" s="7" t="inlineStr">
        <is>
          <t>The change log entry describes this change</t>
        </is>
      </c>
      <c r="L37" s="7" t="inlineStr"/>
      <c r="M37" s="7" t="inlineStr">
        <is>
          <t>Update the steps and expected results to match the new text. Vladimir: the automation for this case may check the old behaviour.</t>
        </is>
      </c>
      <c r="N37" s="6">
        <f>HYPERLINK("https://shopview.atlassian.net/wiki/pages/viewpage.action?pageId=768507905","Spec page")</f>
        <v/>
      </c>
    </row>
    <row r="38">
      <c r="A38" s="6">
        <f>HYPERLINK("https://shopview.testrail.io/index.php?/cases/view/88539","C88539")</f>
        <v/>
      </c>
      <c r="B38" s="7" t="inlineStr">
        <is>
          <t>The work order note and Audit Log match, including the line count</t>
        </is>
      </c>
      <c r="C38" s="7" t="inlineStr">
        <is>
          <t>Yes</t>
        </is>
      </c>
      <c r="D38" s="7" t="inlineStr">
        <is>
          <t>Viktoria (case text) and Vladimir (automation)</t>
        </is>
      </c>
      <c r="E38" s="7" t="inlineStr">
        <is>
          <t>S7-R7</t>
        </is>
      </c>
      <c r="F38" s="7" t="inlineStr">
        <is>
          <t>The Audit Log entry and the note will carry the same three facts: that the work order was built from an inspection, which inspection, and which work order the inspection was run on. Whichever a user opens, they get the same account. Neither may carry a fact the other lacks</t>
        </is>
      </c>
      <c r="G38" s="7" t="inlineStr">
        <is>
          <t>The Audit Log entry and the note will carry the same three facts: that the work order was built from an inspection, which inspection, and which work order the inspection was run on. Whichever a user opens, they get the same account. Neither may carry a fact the other lacks. This holds when both records exist. If one could not be written (S7-E1), the other stands alone and the failure is logged; the user is not told</t>
        </is>
      </c>
      <c r="H38" s="7" t="inlineStr">
        <is>
          <t>Adds that the note and the Audit Log entry must match only when both exist; if one could not be written, the other stands alone, the failure is logged and the user is not told.</t>
        </is>
      </c>
      <c r="I38" s="7" t="inlineStr">
        <is>
          <t>between 29 Sep 2026 and 13 Oct 2026</t>
        </is>
      </c>
      <c r="J38" s="7" t="inlineStr"/>
      <c r="K38" s="7" t="inlineStr">
        <is>
          <t>Not named in the change log; changed between 29 Sep and 13 Oct</t>
        </is>
      </c>
      <c r="L38" s="7" t="inlineStr"/>
      <c r="M38" s="7" t="inlineStr">
        <is>
          <t>Update the steps and expected results to match the new text. Vladimir: the automation for this case may check the old behaviour.</t>
        </is>
      </c>
      <c r="N38" s="6">
        <f>HYPERLINK("https://shopview.atlassian.net/wiki/pages/viewpage.action?pageId=768507905","Spec page")</f>
        <v/>
      </c>
    </row>
    <row r="39">
      <c r="A39" s="6">
        <f>HYPERLINK("https://shopview.testrail.io/index.php?/cases/view/88539","C88539")</f>
        <v/>
      </c>
      <c r="B39" s="7" t="inlineStr">
        <is>
          <t>The work order note and Audit Log match, including the line count</t>
        </is>
      </c>
      <c r="C39" s="7" t="inlineStr">
        <is>
          <t>Yes</t>
        </is>
      </c>
      <c r="D39" s="7" t="inlineStr">
        <is>
          <t>Viktoria (case text) and Vladimir (automation)</t>
        </is>
      </c>
      <c r="E39" s="7" t="inlineStr">
        <is>
          <t>S7-R8</t>
        </is>
      </c>
      <c r="F39" s="7" t="inlineStr">
        <is>
          <t>Both records will state how many lines were created, and the asset row will read "3 lines added" rather than "Lines added". The count is known when the record is written, and the scale of what was added is the first thing an advisor wants from it</t>
        </is>
      </c>
      <c r="G39" s="7" t="inlineStr">
        <is>
          <t>Both records will state how many lines were created. The count is known when the record is written, and the scale of what was added is the first thing an advisor wants from it</t>
        </is>
      </c>
      <c r="H39" s="7" t="inlineStr">
        <is>
          <t>The asset row no longer reads '3 lines added' instead of 'Lines added'; the note and the Audit Log entry still state how many lines were created.</t>
        </is>
      </c>
      <c r="I39" s="7" t="inlineStr">
        <is>
          <t>between 29 Sep 2026 and 13 Oct 2026</t>
        </is>
      </c>
      <c r="J39" s="7" t="inlineStr"/>
      <c r="K39" s="7" t="inlineStr">
        <is>
          <t>Not named in the change log; changed between 29 Sep and 13 Oct</t>
        </is>
      </c>
      <c r="L39" s="7" t="inlineStr"/>
      <c r="M39" s="7" t="inlineStr">
        <is>
          <t>Update the steps and expected results to match the new text. Vladimir: the automation for this case may check the old behaviour.</t>
        </is>
      </c>
      <c r="N39" s="6">
        <f>HYPERLINK("https://shopview.atlassian.net/wiki/pages/viewpage.action?pageId=768507905","Spec page")</f>
        <v/>
      </c>
    </row>
    <row r="40">
      <c r="A40" s="6">
        <f>HYPERLINK("https://shopview.testrail.io/index.php?/cases/view/88540","C88540")</f>
        <v/>
      </c>
      <c r="B40" s="7" t="inlineStr">
        <is>
          <t>Lines are kept if the note or Audit Log fails, deleted records handled</t>
        </is>
      </c>
      <c r="C40" s="7" t="inlineStr">
        <is>
          <t>Yes</t>
        </is>
      </c>
      <c r="D40" s="7" t="inlineStr">
        <is>
          <t>Viktoria (case text) and Vladimir (automation)</t>
        </is>
      </c>
      <c r="E40" s="7" t="inlineStr">
        <is>
          <t>S7-E4</t>
        </is>
      </c>
      <c r="F40" s="7" t="inlineStr">
        <is>
          <t>If the work order is later split, the note and the Audit Log entry stay on the original. The new work order carries no inspection provenance, because a split moves lines and does not copy records</t>
        </is>
      </c>
      <c r="G40" s="7" t="inlineStr">
        <is>
          <t>If the work order is later split, the note and the Audit Log entry stay on the original. The new work order carries no inspection provenance, because a split moves lines and does not copy records. The inspection's report notes are not records of the build: when a line with an inspection is split onto a new work order, those notes move with the line and are removed from the original. Work orders split before this rule keep their notes where they are</t>
        </is>
      </c>
      <c r="H40" s="7" t="inlineStr">
        <is>
          <t>Adds that when a line with an inspection is split onto a new work order, the inspection's report notes move with the line and are removed from the original; work orders split before this rule keep their notes where they are.</t>
        </is>
      </c>
      <c r="I40" s="7" t="inlineStr">
        <is>
          <t>6 Oct 2026</t>
        </is>
      </c>
      <c r="J40" s="7" t="inlineStr">
        <is>
          <t>6 Oct 2026: "Deleted work orders, removed inspections and splits"</t>
        </is>
      </c>
      <c r="K40" s="7" t="inlineStr">
        <is>
          <t>The change log entry names this rule</t>
        </is>
      </c>
      <c r="L40" s="6">
        <f>HYPERLINK("https://shopview.atlassian.net/browse/SV-10913","SV-10913")</f>
        <v/>
      </c>
      <c r="M40" s="7" t="inlineStr">
        <is>
          <t>Update the steps and expected results to match the new text. Vladimir: the automation for this case may check the old behaviour.</t>
        </is>
      </c>
      <c r="N40" s="6">
        <f>HYPERLINK("https://shopview.atlassian.net/wiki/pages/viewpage.action?pageId=768507905","Spec page")</f>
        <v/>
      </c>
    </row>
    <row r="41">
      <c r="A41" s="6">
        <f>HYPERLINK("https://shopview.testrail.io/index.php?/cases/view/88542","C88542")</f>
        <v/>
      </c>
      <c r="B41" s="7" t="inlineStr">
        <is>
          <t>ShopCoach drafts lines with no typing, and its instructions are kept</t>
        </is>
      </c>
      <c r="C41" s="7" t="inlineStr">
        <is>
          <t>Yes</t>
        </is>
      </c>
      <c r="D41" s="7" t="inlineStr">
        <is>
          <t>Viktoria (case text) and Vladimir (automation)</t>
        </is>
      </c>
      <c r="E41" s="7" t="inlineStr">
        <is>
          <t>S15-R6</t>
        </is>
      </c>
      <c r="F41" s="7" t="inlineStr">
        <is>
          <t>ShopCoach will be named once, at the step where the destination is chosen, and nowhere else in the flow</t>
        </is>
      </c>
      <c r="G41" s="7" t="inlineStr">
        <is>
          <t>ShopCoach is named in the note on the completed inspection card (S3-R6) and in the Line Builder panel's existing title. The build action and the destination menu do not name it</t>
        </is>
      </c>
      <c r="H41" s="7" t="inlineStr">
        <is>
          <t>ShopCoach is now named in the note on the completed inspection card and in the Line Builder panel's title, and not on the build action or the destination menu (before, it was named once, where the destination is chosen).</t>
        </is>
      </c>
      <c r="I41" s="7" t="inlineStr">
        <is>
          <t>between 29 Sep 2026 and 13 Oct 2026</t>
        </is>
      </c>
      <c r="J41" s="7" t="inlineStr"/>
      <c r="K41" s="7" t="inlineStr">
        <is>
          <t>Not named in the change log; changed between 29 Sep and 13 Oct</t>
        </is>
      </c>
      <c r="L41" s="7" t="inlineStr"/>
      <c r="M41" s="7" t="inlineStr">
        <is>
          <t>Update the steps and expected results to match the new text. Vladimir: the automation for this case may check the old behaviour.</t>
        </is>
      </c>
      <c r="N41" s="6">
        <f>HYPERLINK("https://shopview.atlassian.net/wiki/pages/viewpage.action?pageId=768507905","Spec page")</f>
        <v/>
      </c>
    </row>
    <row r="42">
      <c r="A42" s="6">
        <f>HYPERLINK("https://shopview.testrail.io/index.php?/cases/view/88548","C88548")</f>
        <v/>
      </c>
      <c r="B42" s="7" t="inlineStr">
        <is>
          <t>ShopCoach with no results, failures, leaving the page and several axles</t>
        </is>
      </c>
      <c r="C42" s="7" t="inlineStr">
        <is>
          <t>Yes</t>
        </is>
      </c>
      <c r="D42" s="7" t="inlineStr">
        <is>
          <t>Viktoria (case text) and Vladimir (automation)</t>
        </is>
      </c>
      <c r="E42" s="7" t="inlineStr">
        <is>
          <t>S15-E2</t>
        </is>
      </c>
      <c r="F42" s="7" t="inlineStr">
        <is>
          <t>If the call to ShopCoach fails, the user is told that it failed. An empty panel is not an acceptable outcome, because there is no non-AI path to fall back to</t>
        </is>
      </c>
      <c r="G42" s="7" t="inlineStr">
        <is>
          <t>If the call to ShopCoach fails, the user is told that it failed and can try again. An empty panel is not an acceptable outcome, because there is no non-AI path to fall back to. No empty lines are created</t>
        </is>
      </c>
      <c r="H42" s="7" t="inlineStr">
        <is>
          <t>When ShopCoach drafting fails, the user is told it failed and can now try again, and no empty lines are created.</t>
        </is>
      </c>
      <c r="I42" s="7" t="inlineStr">
        <is>
          <t>13 Oct 2026</t>
        </is>
      </c>
      <c r="J42" s="7" t="inlineStr">
        <is>
          <t>13 Oct 2026: "Link to the proposed ShopCoach brief"
Also: 29 Sep 2026: "QA contradiction pass answered"</t>
        </is>
      </c>
      <c r="K42" s="7" t="inlineStr">
        <is>
          <t>The change log entry names this rule</t>
        </is>
      </c>
      <c r="L42" s="7" t="inlineStr"/>
      <c r="M42" s="7" t="inlineStr">
        <is>
          <t>Update the steps and expected results to match the new text. Vladimir: the automation for this case may check the old behaviour.</t>
        </is>
      </c>
      <c r="N42" s="6">
        <f>HYPERLINK("https://shopview.atlassian.net/wiki/pages/viewpage.action?pageId=768507905","Spec page")</f>
        <v/>
      </c>
    </row>
    <row r="43">
      <c r="A43" s="6">
        <f>HYPERLINK("https://shopview.testrail.io/index.php?/cases/view/88548","C88548")</f>
        <v/>
      </c>
      <c r="B43" s="7" t="inlineStr">
        <is>
          <t>ShopCoach with no results, failures, leaving the page and several axles</t>
        </is>
      </c>
      <c r="C43" s="7" t="inlineStr">
        <is>
          <t>Yes</t>
        </is>
      </c>
      <c r="D43" s="7" t="inlineStr">
        <is>
          <t>Viktoria (case text) and Vladimir (automation)</t>
        </is>
      </c>
      <c r="E43" s="7" t="inlineStr">
        <is>
          <t>S15-E5</t>
        </is>
      </c>
      <c r="F43" s="7" t="inlineStr">
        <is>
          <t>If the same field is flagged on several axles, each flagged position reaches ShopCoach with its own axle and row so they are not collapsed into one line by accident</t>
        </is>
      </c>
      <c r="G43" s="7" t="inlineStr">
        <is>
          <t>If the same field is flagged on several axles, each flagged row reaches ShopCoach as its own finding, with its axle, its row and its flagged positions, so they are not collapsed into one line by accident</t>
        </is>
      </c>
      <c r="H43" s="7" t="inlineStr">
        <is>
          <t>When the same field is flagged on several axles, each flagged row (not each flagged position) goes to ShopCoach as its own finding, with its axle, its row and its flagged positions.</t>
        </is>
      </c>
      <c r="I43" s="7" t="inlineStr">
        <is>
          <t>29 Sep 2026</t>
        </is>
      </c>
      <c r="J43" s="7" t="inlineStr">
        <is>
          <t>29 Sep 2026: "QA contradiction pass answered"</t>
        </is>
      </c>
      <c r="K43" s="7" t="inlineStr">
        <is>
          <t>The change log entry describes this change</t>
        </is>
      </c>
      <c r="L43" s="7" t="inlineStr"/>
      <c r="M43" s="7" t="inlineStr">
        <is>
          <t>Update the steps and expected results to match the new text. Vladimir: the automation for this case may check the old behaviour.</t>
        </is>
      </c>
      <c r="N43" s="6">
        <f>HYPERLINK("https://shopview.atlassian.net/wiki/pages/viewpage.action?pageId=768507905","Spec page")</f>
        <v/>
      </c>
    </row>
    <row r="44">
      <c r="A44" s="6">
        <f>HYPERLINK("https://shopview.testrail.io/index.php?/cases/view/88571","C88571")</f>
        <v/>
      </c>
      <c r="B44" s="7" t="inlineStr">
        <is>
          <t>Deleting the last section or the selected field, long names, live preview</t>
        </is>
      </c>
      <c r="C44" s="7" t="inlineStr">
        <is>
          <t>No</t>
        </is>
      </c>
      <c r="D44" s="7" t="inlineStr">
        <is>
          <t>Viktoria (case text)</t>
        </is>
      </c>
      <c r="E44" s="7" t="inlineStr">
        <is>
          <t>S12-E1</t>
        </is>
      </c>
      <c r="F44" s="7" t="inlineStr">
        <is>
          <t>If the last section is deleted, the canvas still offers a way to add one back</t>
        </is>
      </c>
      <c r="G44" s="7" t="inlineStr">
        <is>
          <t>If the last section is deleted, the canvas still offers a way to add one back. Starting points are not offered again</t>
        </is>
      </c>
      <c r="H44" s="7" t="inlineStr">
        <is>
          <t>Adds that after the last section is deleted, the starting points are not offered again.</t>
        </is>
      </c>
      <c r="I44" s="7" t="inlineStr">
        <is>
          <t>between 29 Sep 2026 and 13 Oct 2026</t>
        </is>
      </c>
      <c r="J44" s="7" t="inlineStr"/>
      <c r="K44" s="7" t="inlineStr">
        <is>
          <t>Not named in the change log; changed between 29 Sep and 13 Oct</t>
        </is>
      </c>
      <c r="L44" s="7" t="inlineStr"/>
      <c r="M44" s="7" t="inlineStr">
        <is>
          <t>Update the steps and expected results to match the new text.</t>
        </is>
      </c>
      <c r="N44" s="6">
        <f>HYPERLINK("https://shopview.atlassian.net/wiki/pages/viewpage.action?pageId=768507905","Spec page")</f>
        <v/>
      </c>
    </row>
    <row r="45">
      <c r="A45" s="6">
        <f>HYPERLINK("https://shopview.testrail.io/index.php?/cases/view/88572","C88572")</f>
        <v/>
      </c>
      <c r="B45" s="7" t="inlineStr">
        <is>
          <t>What the customer report says, and what it no longer shows</t>
        </is>
      </c>
      <c r="C45" s="7" t="inlineStr">
        <is>
          <t>Yes</t>
        </is>
      </c>
      <c r="D45" s="7" t="inlineStr">
        <is>
          <t>Viktoria (case text) and Vladimir (automation)</t>
        </is>
      </c>
      <c r="E45" s="7" t="inlineStr">
        <is>
          <t>S13-R0</t>
        </is>
      </c>
      <c r="F45" s="7" t="inlineStr">
        <is>
          <t>A per-axle field will print each row's values per position, with a status column carrying the row's derived verdict</t>
        </is>
      </c>
      <c r="G45" s="7" t="inlineStr">
        <is>
          <t>A per-axle field will print one block per axle, never split across a page: each row's values per position, and the axle's result in the axle header. The sub-tables are headed by scope, 'OUTER + INNER' and '1 PER SIDE'. A flagged value carries the icon of its summary tile, a triangle for Needs attention and a clock for Monitor, as well as its colour, so the report reads in black and white. A position nobody measured prints a grey dash. There is no per-row status column</t>
        </is>
      </c>
      <c r="H45" s="7" t="inlineStr">
        <is>
          <t>The report now prints one block per axle, never split across a page, with the axle's result in the axle header, sub-tables headed 'OUTER + INNER' and '1 PER SIDE', a triangle or clock icon beside flagged values as well as colour, a grey dash for unmeasured positions, and no per-row status column.</t>
        </is>
      </c>
      <c r="I45" s="7" t="inlineStr">
        <is>
          <t>5 Oct 2026</t>
        </is>
      </c>
      <c r="J45" s="7" t="inlineStr">
        <is>
          <t>5 Oct 2026: "Developer and QA questions answered"</t>
        </is>
      </c>
      <c r="K45" s="7" t="inlineStr">
        <is>
          <t>The change log entry names this rule</t>
        </is>
      </c>
      <c r="L45" s="7" t="inlineStr"/>
      <c r="M45" s="7" t="inlineStr">
        <is>
          <t>Update the steps and expected results to match the new text. Vladimir: the automation for this case may check the old behaviour.</t>
        </is>
      </c>
      <c r="N45" s="6">
        <f>HYPERLINK("https://shopview.atlassian.net/wiki/pages/viewpage.action?pageId=768507905","Spec page")</f>
        <v/>
      </c>
    </row>
    <row r="46">
      <c r="A46" s="6">
        <f>HYPERLINK("https://shopview.testrail.io/index.php?/cases/view/88578","C88578")</f>
        <v/>
      </c>
      <c r="B46" s="7" t="inlineStr">
        <is>
          <t>On a phone: reference files, outstanding work and the back button</t>
        </is>
      </c>
      <c r="C46" s="7" t="inlineStr">
        <is>
          <t>No</t>
        </is>
      </c>
      <c r="D46" s="7" t="inlineStr">
        <is>
          <t>Viktoria (case text)</t>
        </is>
      </c>
      <c r="E46" s="7" t="inlineStr">
        <is>
          <t>S14-R6</t>
        </is>
      </c>
      <c r="F46" s="7" t="inlineStr">
        <is>
          <t>Outstanding required work will be surfaced on the action that completes the section, carrying a count, rather than as a separate banner competing with the fields</t>
        </is>
      </c>
      <c r="G46" s="7" t="inlineStr">
        <is>
          <t>Outstanding required work will be surfaced on the action that completes the section, carrying a count, rather than as a separate banner competing with the fields. Nothing blocks finishing a section: missing answers, notes, photos and acknowledgements only raise the count. Everything outstanding is collected at submit</t>
        </is>
      </c>
      <c r="H46" s="7" t="inlineStr">
        <is>
          <t>Adds that nothing blocks finishing a section: missing answers, notes, photos and acknowledgements only raise the count, and everything outstanding is collected at submit.</t>
        </is>
      </c>
      <c r="I46" s="7" t="inlineStr">
        <is>
          <t>between 29 Sep 2026 and 13 Oct 2026</t>
        </is>
      </c>
      <c r="J46" s="7" t="inlineStr"/>
      <c r="K46" s="7" t="inlineStr">
        <is>
          <t>Not named in the change log; changed between 29 Sep and 13 Oct</t>
        </is>
      </c>
      <c r="L46" s="7" t="inlineStr"/>
      <c r="M46" s="7" t="inlineStr">
        <is>
          <t>Update the steps and expected results to match the new text.</t>
        </is>
      </c>
      <c r="N46" s="6">
        <f>HYPERLINK("https://shopview.atlassian.net/wiki/pages/viewpage.action?pageId=768507905","Spec page")</f>
        <v/>
      </c>
    </row>
    <row r="47">
      <c r="A47" s="6">
        <f>HYPERLINK("https://shopview.testrail.io/index.php?/cases/view/88578","C88578")</f>
        <v/>
      </c>
      <c r="B47" s="7" t="inlineStr">
        <is>
          <t>On a phone: reference files, outstanding work and the back button</t>
        </is>
      </c>
      <c r="C47" s="7" t="inlineStr">
        <is>
          <t>No</t>
        </is>
      </c>
      <c r="D47" s="7" t="inlineStr">
        <is>
          <t>Viktoria (case text)</t>
        </is>
      </c>
      <c r="E47" s="7" t="inlineStr">
        <is>
          <t>S14-R7</t>
        </is>
      </c>
      <c r="F47" s="7" t="inlineStr">
        <is>
          <t>Selecting an outstanding item will move to the first field that still needs an answer, rather than to a summary of what is missing</t>
        </is>
      </c>
      <c r="G47" s="7" t="inlineStr">
        <is>
          <t>Selecting an outstanding item will move to that field. A 'Go to the first one' action moves to the first item in the list</t>
        </is>
      </c>
      <c r="H47" s="7" t="inlineStr">
        <is>
          <t>Selecting an outstanding item now goes to that item's field, and a 'Go to the first one' action goes to the first item in the list (before, selecting went to the first field still needing an answer).</t>
        </is>
      </c>
      <c r="I47" s="7" t="inlineStr">
        <is>
          <t>between 29 Sep 2026 and 13 Oct 2026</t>
        </is>
      </c>
      <c r="J47" s="7" t="inlineStr"/>
      <c r="K47" s="7" t="inlineStr">
        <is>
          <t>Not named in the change log; changed between 29 Sep and 13 Oct</t>
        </is>
      </c>
      <c r="L47" s="7" t="inlineStr"/>
      <c r="M47" s="7" t="inlineStr">
        <is>
          <t>Update the steps and expected results to match the new text.</t>
        </is>
      </c>
      <c r="N47" s="6">
        <f>HYPERLINK("https://shopview.atlassian.net/wiki/pages/viewpage.action?pageId=768507905","Spec page")</f>
        <v/>
      </c>
    </row>
    <row r="48">
      <c r="A48" s="6">
        <f>HYPERLINK("https://shopview.testrail.io/index.php?/cases/view/88511","C88511")</f>
        <v/>
      </c>
      <c r="B48" s="7" t="inlineStr">
        <is>
          <t>Photo required if Not OK vs Photo required, which answers count, HEIC photos</t>
        </is>
      </c>
      <c r="C48" s="7" t="inlineStr">
        <is>
          <t>No</t>
        </is>
      </c>
      <c r="D48" s="7" t="inlineStr">
        <is>
          <t>Viktoria (case text)</t>
        </is>
      </c>
      <c r="E48" s="7" t="inlineStr">
        <is>
          <t>S11-R9</t>
        </is>
      </c>
      <c r="F48" s="7" t="inlineStr">
        <is>
          <t>A file the viewer cannot render — HEIC, TIFF, Word, Excel — will say so in that view and offer the download, rather than opening blank or silently downloading. Converting those types on the server so they can be read in place is a separate ticket; until it lands the viewer is honest about the limit instead of pretending</t>
        </is>
      </c>
      <c r="G48" s="7" t="inlineStr">
        <is>
          <t>A file the viewer cannot render — HEIC, Word, Excel — will say so in that view and offer the download, rather than opening blank or silently downloading. Converting those types on the server so they can be read in place is a separate ticket; until it lands the viewer is honest about the limit instead of pretending</t>
        </is>
      </c>
      <c r="H48" s="7" t="inlineStr">
        <is>
          <t>TIFF is removed from the list of files the viewer cannot show, since TIFF is no longer accepted.</t>
        </is>
      </c>
      <c r="I48" s="7" t="inlineStr">
        <is>
          <t>29 Sep 2026</t>
        </is>
      </c>
      <c r="J48" s="7" t="inlineStr">
        <is>
          <t>29 Sep 2026: "QA contradiction pass answered"</t>
        </is>
      </c>
      <c r="K48" s="7" t="inlineStr">
        <is>
          <t>The change log entry describes this change</t>
        </is>
      </c>
      <c r="L48" s="7" t="inlineStr"/>
      <c r="M48" s="7" t="inlineStr">
        <is>
          <t>Please check: the case words this rule in its own way, so we could not tell whether it follows the old or the new text. Update it if it follows the old text.</t>
        </is>
      </c>
      <c r="N48" s="6">
        <f>HYPERLINK("https://shopview.atlassian.net/wiki/pages/viewpage.action?pageId=768507905","Spec page")</f>
        <v/>
      </c>
    </row>
    <row r="49">
      <c r="A49" s="6">
        <f>HYPERLINK("https://shopview.testrail.io/index.php?/cases/view/88523","C88523")</f>
        <v/>
      </c>
      <c r="B49" s="7" t="inlineStr">
        <is>
          <t>Build lines from the report note, on a phone and on an ineligible work order</t>
        </is>
      </c>
      <c r="C49" s="7" t="inlineStr">
        <is>
          <t>Yes</t>
        </is>
      </c>
      <c r="D49" s="7" t="inlineStr">
        <is>
          <t>Viktoria (case text) and Vladimir (automation)</t>
        </is>
      </c>
      <c r="E49" s="7" t="inlineStr">
        <is>
          <t>S2-R5</t>
        </is>
      </c>
      <c r="F49" s="7" t="inlineStr">
        <is>
          <t>When the work order the inspection was run on is not an eligible build target, the system will create a new work order without asking. It is ineligible when its status is Complete, Invoiced, Paid or Declined, or when an invoice already exists. Declined counts as ineligible because lines added to a refused order would revive work the customer turned down</t>
        </is>
      </c>
      <c r="G49" s="7" t="inlineStr">
        <is>
          <t>When the work order the inspection was run on is not an eligible build target, the destination menu still opens and offers only a new work order. It is ineligible when its status is Complete, Invoiced, Paid or Declined, or when an invoice already exists. Declined counts as ineligible because lines added to a refused order would revive work the customer turned down</t>
        </is>
      </c>
      <c r="H49" s="7" t="inlineStr">
        <is>
          <t>When the inspection's own work order cannot take lines, the destination menu still opens and offers only a new work order, instead of a new work order being created without asking.</t>
        </is>
      </c>
      <c r="I49" s="7" t="inlineStr">
        <is>
          <t>29 Sep 2026</t>
        </is>
      </c>
      <c r="J49" s="7" t="inlineStr">
        <is>
          <t>29 Sep 2026: "QA contradiction pass answered"</t>
        </is>
      </c>
      <c r="K49" s="7" t="inlineStr">
        <is>
          <t>The change log entry describes this change</t>
        </is>
      </c>
      <c r="L49" s="7" t="inlineStr"/>
      <c r="M49" s="7" t="inlineStr">
        <is>
          <t>Please check: the case words this rule in its own way, so we could not tell whether it follows the old or the new text. Update it if it follows the old text. Vladimir: the automation for this case may check the old behaviour.</t>
        </is>
      </c>
      <c r="N49" s="6">
        <f>HYPERLINK("https://shopview.atlassian.net/wiki/pages/viewpage.action?pageId=768507905","Spec page")</f>
        <v/>
      </c>
    </row>
    <row r="50">
      <c r="A50" s="6">
        <f>HYPERLINK("https://shopview.testrail.io/index.php?/cases/view/88531","C88531")</f>
        <v/>
      </c>
      <c r="B50" s="7" t="inlineStr">
        <is>
          <t>The Inspections tab and its actions are hidden without permission or setup</t>
        </is>
      </c>
      <c r="C50" s="7" t="inlineStr">
        <is>
          <t>Yes</t>
        </is>
      </c>
      <c r="D50" s="7" t="inlineStr">
        <is>
          <t>Viktoria (case text) and Vladimir (automation)</t>
        </is>
      </c>
      <c r="E50" s="7" t="inlineStr">
        <is>
          <t>S5-R9</t>
        </is>
      </c>
      <c r="F50" s="7" t="inlineStr">
        <is>
          <t>The action column will have three states. Needs action offers the build described in S6. Done shows the outcome and links to the resulting work order, reading "WO created" when a new work order was created and "Lines added" when the lines went onto the existing one. Nothing to do shows a dash</t>
        </is>
      </c>
      <c r="G50" s="7" t="inlineStr">
        <is>
          <t>The action column will have three states. Needs action offers the build described in S6. Done shows the outcome and links to the resulting work order, reading "WO created" when a new work order was created and "Lines added" when the lines went onto the existing one. Nothing to do shows a dash. The same wording is used wherever the outcome replaces the build action (S2-R13)</t>
        </is>
      </c>
      <c r="H50" s="7" t="inlineStr">
        <is>
          <t>Adds that the same result wording ('WO created' / 'Lines added') is used everywhere the result replaces the build action.</t>
        </is>
      </c>
      <c r="I50" s="7" t="inlineStr">
        <is>
          <t>29 Sep 2026</t>
        </is>
      </c>
      <c r="J50" s="7" t="inlineStr">
        <is>
          <t>29 Sep 2026: "QA contradiction pass answered"</t>
        </is>
      </c>
      <c r="K50" s="7" t="inlineStr">
        <is>
          <t>The change log entry describes this change</t>
        </is>
      </c>
      <c r="L50" s="7" t="inlineStr"/>
      <c r="M50" s="7" t="inlineStr">
        <is>
          <t>Please check: the case words this rule in its own way, so we could not tell whether it follows the old or the new text. Update it if it follows the old text. Vladimir: the automation for this case may check the old behaviour.</t>
        </is>
      </c>
      <c r="N50" s="6">
        <f>HYPERLINK("https://shopview.atlassian.net/wiki/pages/viewpage.action?pageId=768507905","Spec page")</f>
        <v/>
      </c>
    </row>
    <row r="51">
      <c r="A51" s="6">
        <f>HYPERLINK("https://shopview.testrail.io/index.php?/cases/view/88554","C88554")</f>
        <v/>
      </c>
      <c r="B51" s="7" t="inlineStr">
        <is>
          <t>The finished report shows per-axle results and findings per row</t>
        </is>
      </c>
      <c r="C51" s="7" t="inlineStr">
        <is>
          <t>No</t>
        </is>
      </c>
      <c r="D51" s="7" t="inlineStr">
        <is>
          <t>Viktoria (case text)</t>
        </is>
      </c>
      <c r="E51" s="7" t="inlineStr">
        <is>
          <t>S5-R20</t>
        </is>
      </c>
      <c r="F51" s="7" t="inlineStr">
        <is>
          <t>A per-axle measurement field contributes one count per axle, because each axle is a separate inspected position. A field with three axles marked OK, Monitor and Not OK contributes one pass, one monitor and one needs-attention</t>
        </is>
      </c>
      <c r="G51" s="7" t="inlineStr">
        <is>
          <t>A per-axle measurement field contributes one count per axle, carrying that axle's worst verdict (S8-R14). A field with three axles marked OK, Monitor and Not OK contributes one pass, one monitor and one needs-attention</t>
        </is>
      </c>
      <c r="H51" s="7" t="inlineStr">
        <is>
          <t>Adds that each axle's single count carries that axle's worst verdict.</t>
        </is>
      </c>
      <c r="I51" s="7" t="inlineStr">
        <is>
          <t>between 29 Sep 2026 and 13 Oct 2026</t>
        </is>
      </c>
      <c r="J51" s="7" t="inlineStr"/>
      <c r="K51" s="7" t="inlineStr">
        <is>
          <t>Not named in the change log; changed between 29 Sep and 13 Oct</t>
        </is>
      </c>
      <c r="L51" s="7" t="inlineStr"/>
      <c r="M51" s="7" t="inlineStr">
        <is>
          <t>Please check: the case words this rule in its own way, so we could not tell whether it follows the old or the new text. Update it if it follows the old text.</t>
        </is>
      </c>
      <c r="N51" s="6">
        <f>HYPERLINK("https://shopview.atlassian.net/wiki/pages/viewpage.action?pageId=768507905","Spec page")</f>
        <v/>
      </c>
    </row>
    <row r="52">
      <c r="A52" s="6">
        <f>HYPERLINK("https://shopview.testrail.io/index.php?/cases/view/88554","C88554")</f>
        <v/>
      </c>
      <c r="B52" s="7" t="inlineStr">
        <is>
          <t>The finished report shows per-axle results and findings per row</t>
        </is>
      </c>
      <c r="C52" s="7" t="inlineStr">
        <is>
          <t>No</t>
        </is>
      </c>
      <c r="D52" s="7" t="inlineStr">
        <is>
          <t>Viktoria (case text)</t>
        </is>
      </c>
      <c r="E52" s="7" t="inlineStr">
        <is>
          <t>S13-R0</t>
        </is>
      </c>
      <c r="F52" s="7" t="inlineStr">
        <is>
          <t>A per-axle field will print each row's values per position, with a status column carrying the row's derived verdict</t>
        </is>
      </c>
      <c r="G52" s="7" t="inlineStr">
        <is>
          <t>A per-axle field will print one block per axle, never split across a page: each row's values per position, and the axle's result in the axle header. The sub-tables are headed by scope, 'OUTER + INNER' and '1 PER SIDE'. A flagged value carries the icon of its summary tile, a triangle for Needs attention and a clock for Monitor, as well as its colour, so the report reads in black and white. A position nobody measured prints a grey dash. There is no per-row status column</t>
        </is>
      </c>
      <c r="H52" s="7" t="inlineStr">
        <is>
          <t>The report now prints one block per axle, never split across a page, with the axle's result in the axle header, sub-tables headed 'OUTER + INNER' and '1 PER SIDE', a triangle or clock icon beside flagged values as well as colour, a grey dash for unmeasured positions, and no per-row status column.</t>
        </is>
      </c>
      <c r="I52" s="7" t="inlineStr">
        <is>
          <t>5 Oct 2026</t>
        </is>
      </c>
      <c r="J52" s="7" t="inlineStr">
        <is>
          <t>5 Oct 2026: "Developer and QA questions answered"</t>
        </is>
      </c>
      <c r="K52" s="7" t="inlineStr">
        <is>
          <t>The change log entry names this rule</t>
        </is>
      </c>
      <c r="L52" s="7" t="inlineStr"/>
      <c r="M52" s="7" t="inlineStr">
        <is>
          <t>Please check: the case words this rule in its own way, so we could not tell whether it follows the old or the new text. Update it if it follows the old text.</t>
        </is>
      </c>
      <c r="N52" s="6">
        <f>HYPERLINK("https://shopview.atlassian.net/wiki/pages/viewpage.action?pageId=768507905","Spec page")</f>
        <v/>
      </c>
    </row>
    <row r="53">
      <c r="A53" s="6">
        <f>HYPERLINK("https://shopview.testrail.io/index.php?/cases/view/88558","C88558")</f>
        <v/>
      </c>
      <c r="B53" s="7" t="inlineStr">
        <is>
          <t>The technician opens the attached file, unsupported types offer download</t>
        </is>
      </c>
      <c r="C53" s="7" t="inlineStr">
        <is>
          <t>No</t>
        </is>
      </c>
      <c r="D53" s="7" t="inlineStr">
        <is>
          <t>Viktoria (case text)</t>
        </is>
      </c>
      <c r="E53" s="7" t="inlineStr">
        <is>
          <t>S19-R19</t>
        </is>
      </c>
      <c r="F53" s="7" t="inlineStr">
        <is>
          <t>The attached file will open full screen in the same view and close back to the exact position in the inspection, as the reference file already does. Its action reads View Instruction</t>
        </is>
      </c>
      <c r="G53" s="7" t="inlineStr">
        <is>
          <t>The attached file will open full screen in the same view and close back to the exact position in the inspection, as the reference file already does. The file name is a hyperlink that opens it; there is no separate "View Instruction" button</t>
        </is>
      </c>
      <c r="H53" s="7" t="inlineStr">
        <is>
          <t>The follow-up file now opens by clicking its name, which is a link; there is no 'View Instruction' button.</t>
        </is>
      </c>
      <c r="I53" s="7" t="inlineStr">
        <is>
          <t>7 Oct 2026</t>
        </is>
      </c>
      <c r="J53" s="7" t="inlineStr">
        <is>
          <t>7 Oct 2026: "Follow-up file opens from its name (SV-10794)"
Also: 7 Oct 2026: "Files open from a hyperlinked name"</t>
        </is>
      </c>
      <c r="K53" s="7" t="inlineStr">
        <is>
          <t>The change log entry names this rule</t>
        </is>
      </c>
      <c r="L53" s="6">
        <f>HYPERLINK("https://shopview.atlassian.net/browse/SV-10794","SV-10794")</f>
        <v/>
      </c>
      <c r="M53" s="7" t="inlineStr">
        <is>
          <t>Please check: the case words this rule in its own way, so we could not tell whether it follows the old or the new text. Update it if it follows the old text.</t>
        </is>
      </c>
      <c r="N53" s="6">
        <f>HYPERLINK("https://shopview.atlassian.net/wiki/pages/viewpage.action?pageId=768507905","Spec page")</f>
        <v/>
      </c>
    </row>
    <row r="54">
      <c r="A54" s="6">
        <f>HYPERLINK("https://shopview.testrail.io/index.php?/cases/view/88564","C88564")</f>
        <v/>
      </c>
      <c r="B54" s="7" t="inlineStr">
        <is>
          <t>Field settings: measurement row cards and answer options</t>
        </is>
      </c>
      <c r="C54" s="7" t="inlineStr">
        <is>
          <t>No</t>
        </is>
      </c>
      <c r="D54" s="7" t="inlineStr">
        <is>
          <t>Viktoria (case text)</t>
        </is>
      </c>
      <c r="E54" s="7" t="inlineStr">
        <is>
          <t>S8-R7</t>
        </is>
      </c>
      <c r="F54" s="7" t="inlineStr">
        <is>
          <t>Rows can be added and removed. The last row cannot be removed</t>
        </is>
      </c>
      <c r="G54" s="7" t="inlineStr">
        <is>
          <t>Rows can be removed and added back. Adding a row offers only the row types the field does not already have, and the add control is not shown when all four are present. The last row cannot be removed</t>
        </is>
      </c>
      <c r="H54" s="7" t="inlineStr">
        <is>
          <t>Adding a row now offers only the row types the field does not already have, and the add control is not shown when all four are present.</t>
        </is>
      </c>
      <c r="I54" s="7" t="inlineStr">
        <is>
          <t>7 Oct 2026</t>
        </is>
      </c>
      <c r="J54" s="7" t="inlineStr">
        <is>
          <t>7 Oct 2026: "Per-axle rows are four fixed types (SV-10877)"</t>
        </is>
      </c>
      <c r="K54" s="7" t="inlineStr">
        <is>
          <t>The change log entry describes this change</t>
        </is>
      </c>
      <c r="L54" s="6">
        <f>HYPERLINK("https://shopview.atlassian.net/browse/SV-10877","SV-10877")</f>
        <v/>
      </c>
      <c r="M54" s="7" t="inlineStr">
        <is>
          <t>Please check: the case words this rule in its own way, so we could not tell whether it follows the old or the new text. Update it if it follows the old text.</t>
        </is>
      </c>
      <c r="N54" s="6">
        <f>HYPERLINK("https://shopview.atlassian.net/wiki/pages/viewpage.action?pageId=768507905","Spec page")</f>
        <v/>
      </c>
    </row>
    <row r="55">
      <c r="A55" s="6">
        <f>HYPERLINK("https://shopview.testrail.io/index.php?/cases/view/88568","C88568")</f>
        <v/>
      </c>
      <c r="B55" s="7" t="inlineStr">
        <is>
          <t>Preview shows the fill screen read-only, except the axle control</t>
        </is>
      </c>
      <c r="C55" s="7" t="inlineStr">
        <is>
          <t>No</t>
        </is>
      </c>
      <c r="D55" s="7" t="inlineStr">
        <is>
          <t>Viktoria (case text)</t>
        </is>
      </c>
      <c r="E55" s="7" t="inlineStr">
        <is>
          <t>S12-R29</t>
        </is>
      </c>
      <c r="F55" s="7" t="inlineStr">
        <is>
          <t>A per-axle field will offer an Axles control in its properties panel, in the shape of a measurement row and sitting below the rows, above the control that adds one — so the panel reads top to bottom: what every axle is measured on, then how many axles to start with. It defaults to 3 and offers 2 to 5, and it is explained on demand rather than in permanent text. The rows above it are headed "Measurement rows · every axle"</t>
        </is>
      </c>
      <c r="G55" s="7" t="inlineStr">
        <is>
          <t>A per-axle field will offer an Axles control in its properties panel, in the shape of a measurement row and sitting below the rows, above the control that adds one — so the panel reads top to bottom: what every axle is measured on, then how many axles to start with. It defaults to 3 and offers 1 to 8, and it is explained on demand rather than in permanent text. The rows above it are headed "Measurement rows · every axle"</t>
        </is>
      </c>
      <c r="H55" s="7" t="inlineStr">
        <is>
          <t>The Axles control now offers 1 to 8 axles instead of 2 to 5; the default is still 3.</t>
        </is>
      </c>
      <c r="I55" s="7" t="inlineStr">
        <is>
          <t>29 Sep 2026</t>
        </is>
      </c>
      <c r="J55" s="7" t="inlineStr">
        <is>
          <t>29 Sep 2026: "QA contradiction pass answered"</t>
        </is>
      </c>
      <c r="K55" s="7" t="inlineStr">
        <is>
          <t>The change log entry names this rule</t>
        </is>
      </c>
      <c r="L55" s="7" t="inlineStr"/>
      <c r="M55" s="7" t="inlineStr">
        <is>
          <t>Please check: the case words this rule in its own way, so we could not tell whether it follows the old or the new text. Update it if it follows the old text.</t>
        </is>
      </c>
      <c r="N55" s="6">
        <f>HYPERLINK("https://shopview.atlassian.net/wiki/pages/viewpage.action?pageId=768507905","Spec page")</f>
        <v/>
      </c>
    </row>
    <row r="56">
      <c r="A56" s="6">
        <f>HYPERLINK("https://shopview.testrail.io/index.php?/cases/view/88583","C88583")</f>
        <v/>
      </c>
      <c r="B56" s="7" t="inlineStr">
        <is>
          <t>Mark OK is not offered on no-verdict fields, in Preview or when submitted</t>
        </is>
      </c>
      <c r="C56" s="7" t="inlineStr">
        <is>
          <t>Yes</t>
        </is>
      </c>
      <c r="D56" s="7" t="inlineStr">
        <is>
          <t>Viktoria (case text) and Vladimir (automation)</t>
        </is>
      </c>
      <c r="E56" s="7" t="inlineStr">
        <is>
          <t>S12-R31</t>
        </is>
      </c>
      <c r="F56" s="7" t="inlineStr">
        <is>
          <t>Preview is read-only, with one exception: the axle control. Adding or deleting an axle there writes the count back to the draft, so returning to Edit shows the new number on the Axles control (S12-R29) — Preview is where an author first sees the field at its real size and works out that three is not enough, and making them carry that number back by hand is the round trip the mode exists to remove. Nothing else accepts input: no values, no verdicts, no Mark OK, no Add Note, no Add Photo. A reference file still opens, because that is a read. The submit bar is not drawn at all — it belongs to an inspection rather than a template</t>
        </is>
      </c>
      <c r="G56" s="7" t="inlineStr">
        <is>
          <t>Preview is read-only, with one exception: the axle count. Add Axle and delete axle work there (the first axle is never deleted, S8-R20) and write the count back to the draft, so returning to Edit shows the new number on the Axles control (S12-R29). Add Axle stops at 8 and delete stops at 1, so the count never leaves the range. Nothing else accepts input: no values, no verdicts, no Single/Dual, no Drum/Disc, no Mark OK, no Add Note, no Add Photo. A reference file is shown but cannot be opened. The submit bar is not drawn at all; it belongs to an inspection rather than a template</t>
        </is>
      </c>
      <c r="H56" s="7" t="inlineStr">
        <is>
          <t>In Preview only Add Axle and delete axle work (the first axle is never deleted, the count stays between 1 and 8) and they write the count back to the draft; Single/Dual and Drum/Disc also take no input, and a reference file is shown but cannot be opened (before, it opened).</t>
        </is>
      </c>
      <c r="I56" s="7" t="inlineStr">
        <is>
          <t>29 Sep 2026</t>
        </is>
      </c>
      <c r="J56" s="7" t="inlineStr">
        <is>
          <t>29 Sep 2026: "QA contradiction pass answered"</t>
        </is>
      </c>
      <c r="K56" s="7" t="inlineStr">
        <is>
          <t>The change log entry names this rule</t>
        </is>
      </c>
      <c r="L56" s="7" t="inlineStr"/>
      <c r="M56" s="7" t="inlineStr">
        <is>
          <t>Please check: the case words this rule in its own way, so we could not tell whether it follows the old or the new text. Update it if it follows the old text. Vladimir: the automation for this case may check the old behaviour.</t>
        </is>
      </c>
      <c r="N56" s="6">
        <f>HYPERLINK("https://shopview.atlassian.net/wiki/pages/viewpage.action?pageId=768507905","Spec page")</f>
        <v/>
      </c>
    </row>
    <row r="57">
      <c r="A57" s="6">
        <f>HYPERLINK("https://shopview.testrail.io/index.php?/cases/view/88590","C88590")</f>
        <v/>
      </c>
      <c r="B57" s="7" t="inlineStr">
        <is>
          <t>Submitting needs every required acknowledgement, listed as outstanding</t>
        </is>
      </c>
      <c r="C57" s="7" t="inlineStr">
        <is>
          <t>No</t>
        </is>
      </c>
      <c r="D57" s="7" t="inlineStr">
        <is>
          <t>Viktoria (case text)</t>
        </is>
      </c>
      <c r="E57" s="7" t="inlineStr">
        <is>
          <t>S14-R6</t>
        </is>
      </c>
      <c r="F57" s="7" t="inlineStr">
        <is>
          <t>Outstanding required work will be surfaced on the action that completes the section, carrying a count, rather than as a separate banner competing with the fields</t>
        </is>
      </c>
      <c r="G57" s="7" t="inlineStr">
        <is>
          <t>Outstanding required work will be surfaced on the action that completes the section, carrying a count, rather than as a separate banner competing with the fields. Nothing blocks finishing a section: missing answers, notes, photos and acknowledgements only raise the count. Everything outstanding is collected at submit</t>
        </is>
      </c>
      <c r="H57" s="7" t="inlineStr">
        <is>
          <t>Adds that nothing blocks finishing a section: missing answers, notes, photos and acknowledgements only raise the count, and everything outstanding is collected at submit.</t>
        </is>
      </c>
      <c r="I57" s="7" t="inlineStr">
        <is>
          <t>between 29 Sep 2026 and 13 Oct 2026</t>
        </is>
      </c>
      <c r="J57" s="7" t="inlineStr"/>
      <c r="K57" s="7" t="inlineStr">
        <is>
          <t>Not named in the change log; changed between 29 Sep and 13 Oct</t>
        </is>
      </c>
      <c r="L57" s="7" t="inlineStr"/>
      <c r="M57" s="7" t="inlineStr">
        <is>
          <t>Please check: the case words this rule in its own way, so we could not tell whether it follows the old or the new text. Update it if it follows the old text.</t>
        </is>
      </c>
      <c r="N57" s="6">
        <f>HYPERLINK("https://shopview.atlassian.net/wiki/pages/viewpage.action?pageId=768507905","Spec page")</f>
        <v/>
      </c>
    </row>
    <row r="58">
      <c r="A58" s="6">
        <f>HYPERLINK("https://shopview.testrail.io/index.php?/cases/view/88591","C88591")</f>
        <v/>
      </c>
      <c r="B58" s="7" t="inlineStr">
        <is>
          <t>Preview shows every follow-up, acknowledgement inactive, no banner</t>
        </is>
      </c>
      <c r="C58" s="7" t="inlineStr">
        <is>
          <t>No</t>
        </is>
      </c>
      <c r="D58" s="7" t="inlineStr">
        <is>
          <t>Viktoria (case text)</t>
        </is>
      </c>
      <c r="E58" s="7" t="inlineStr">
        <is>
          <t>S12-R31</t>
        </is>
      </c>
      <c r="F58" s="7" t="inlineStr">
        <is>
          <t>Preview is read-only, with one exception: the axle control. Adding or deleting an axle there writes the count back to the draft, so returning to Edit shows the new number on the Axles control (S12-R29) — Preview is where an author first sees the field at its real size and works out that three is not enough, and making them carry that number back by hand is the round trip the mode exists to remove. Nothing else accepts input: no values, no verdicts, no Mark OK, no Add Note, no Add Photo. A reference file still opens, because that is a read. The submit bar is not drawn at all — it belongs to an inspection rather than a template</t>
        </is>
      </c>
      <c r="G58" s="7" t="inlineStr">
        <is>
          <t>Preview is read-only, with one exception: the axle count. Add Axle and delete axle work there (the first axle is never deleted, S8-R20) and write the count back to the draft, so returning to Edit shows the new number on the Axles control (S12-R29). Add Axle stops at 8 and delete stops at 1, so the count never leaves the range. Nothing else accepts input: no values, no verdicts, no Single/Dual, no Drum/Disc, no Mark OK, no Add Note, no Add Photo. A reference file is shown but cannot be opened. The submit bar is not drawn at all; it belongs to an inspection rather than a template</t>
        </is>
      </c>
      <c r="H58" s="7" t="inlineStr">
        <is>
          <t>In Preview only Add Axle and delete axle work (the first axle is never deleted, the count stays between 1 and 8) and they write the count back to the draft; Single/Dual and Drum/Disc also take no input, and a reference file is shown but cannot be opened (before, it opened).</t>
        </is>
      </c>
      <c r="I58" s="7" t="inlineStr">
        <is>
          <t>29 Sep 2026</t>
        </is>
      </c>
      <c r="J58" s="7" t="inlineStr">
        <is>
          <t>29 Sep 2026: "QA contradiction pass answered"</t>
        </is>
      </c>
      <c r="K58" s="7" t="inlineStr">
        <is>
          <t>The change log entry names this rule</t>
        </is>
      </c>
      <c r="L58" s="7" t="inlineStr"/>
      <c r="M58" s="7" t="inlineStr">
        <is>
          <t>Please check: the case words this rule in its own way, so we could not tell whether it follows the old or the new text. Update it if it follows the old text.</t>
        </is>
      </c>
      <c r="N58" s="6">
        <f>HYPERLINK("https://shopview.atlassian.net/wiki/pages/viewpage.action?pageId=768507905","Spec page")</f>
        <v/>
      </c>
    </row>
    <row r="59">
      <c r="A59" s="6">
        <f>HYPERLINK("https://shopview.testrail.io/index.php?/cases/view/88592","C88592")</f>
        <v/>
      </c>
      <c r="B59" s="7" t="inlineStr">
        <is>
          <t>Follow-ups: not on per-axle fields, empty ones blocked, report without the file</t>
        </is>
      </c>
      <c r="C59" s="7" t="inlineStr">
        <is>
          <t>No</t>
        </is>
      </c>
      <c r="D59" s="7" t="inlineStr">
        <is>
          <t>Viktoria (case text)</t>
        </is>
      </c>
      <c r="E59" s="7" t="inlineStr">
        <is>
          <t>S5-R17</t>
        </is>
      </c>
      <c r="F59" s="7" t="inlineStr">
        <is>
          <t>A response contributes one count to exactly one of Pass, Monitor or Needs attention when the field is visible, the field is a checkbox or a measurement, and the response is Pass, Monitor or Not OK</t>
        </is>
      </c>
      <c r="G59" s="7" t="inlineStr">
        <is>
          <t>A response contributes one count to exactly one of Pass, Monitor or Needs attention when the field is a checkbox or a measurement and the response is Pass, Monitor or Not OK</t>
        </is>
      </c>
      <c r="H59" s="7" t="inlineStr">
        <is>
          <t>The counting rule no longer says the field must be visible: a checkbox or measurement answer of Pass, Monitor or Not OK counts once.</t>
        </is>
      </c>
      <c r="I59" s="7" t="inlineStr">
        <is>
          <t>between 29 Sep 2026 and 13 Oct 2026</t>
        </is>
      </c>
      <c r="J59" s="7" t="inlineStr"/>
      <c r="K59" s="7" t="inlineStr">
        <is>
          <t>Not named in the change log; changed between 29 Sep and 13 Oct</t>
        </is>
      </c>
      <c r="L59" s="7" t="inlineStr"/>
      <c r="M59" s="7" t="inlineStr">
        <is>
          <t>Please check: the case words this rule in its own way, so we could not tell whether it follows the old or the new text. Update it if it follows the old text.</t>
        </is>
      </c>
      <c r="N59" s="6">
        <f>HYPERLINK("https://shopview.atlassian.net/wiki/pages/viewpage.action?pageId=768507905","Spec page")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2" customWidth="1" min="3" max="3"/>
    <col width="12" customWidth="1" min="4" max="4"/>
    <col width="26" customWidth="1" min="5" max="5"/>
    <col width="60" customWidth="1" min="6" max="6"/>
    <col width="50" customWidth="1" min="7" max="7"/>
    <col width="40" customWidth="1" min="8" max="8"/>
  </cols>
  <sheetData>
    <row r="1">
      <c r="A1" s="5" t="inlineStr">
        <is>
          <t>Case</t>
        </is>
      </c>
      <c r="B1" s="5" t="inlineStr">
        <is>
          <t>Case title</t>
        </is>
      </c>
      <c r="C1" s="5" t="inlineStr">
        <is>
          <t>Automated?</t>
        </is>
      </c>
      <c r="D1" s="5" t="inlineStr">
        <is>
          <t>Ticket</t>
        </is>
      </c>
      <c r="E1" s="5" t="inlineStr">
        <is>
          <t>Who decided, and when</t>
        </is>
      </c>
      <c r="F1" s="5" t="inlineStr">
        <is>
          <t>The decision</t>
        </is>
      </c>
      <c r="G1" s="5" t="inlineStr">
        <is>
          <t>What the spec still says</t>
        </is>
      </c>
      <c r="H1" s="5" t="inlineStr">
        <is>
          <t>What to do</t>
        </is>
      </c>
    </row>
    <row r="2">
      <c r="A2" s="6">
        <f>HYPERLINK("https://shopview.testrail.io/index.php?/cases/view/88575","C88575")</f>
        <v/>
      </c>
      <c r="B2" s="7" t="inlineStr">
        <is>
          <t>The customer report stays correct when regenerated or republished</t>
        </is>
      </c>
      <c r="C2" s="7" t="inlineStr">
        <is>
          <t>No</t>
        </is>
      </c>
      <c r="D2" s="6">
        <f>HYPERLINK("https://shopview.atlassian.net/browse/SV-10960","SV-10960")</f>
        <v/>
      </c>
      <c r="E2" s="7" t="inlineStr">
        <is>
          <t>Milos Vasic (product), 8 Oct 2026</t>
        </is>
      </c>
      <c r="F2" s="7" t="inlineStr">
        <is>
          <t>When a work order is deleted, the inspection that survives moves to the asset the work order has at that moment. Changing or merging an asset never regenerates existing reports; a manual regenerate uses the work order's current asset.</t>
        </is>
      </c>
      <c r="G2" s="7" t="inlineStr">
        <is>
          <t>The tab lists the inspections whose work order is on this asset now, so it follows the work order when the work order's asset is changed or two assets are merged. The asset an inspection was run on is also stored on the inspection when it is created, as a record. Inspections that exist before this release are backfilled from their work order's asset at migration. When the work order has been deleted, the stored asset is used (S5-E3). Merging assets moves such inspections to the surviving asset, as it moves the work orders</t>
        </is>
      </c>
      <c r="H2" s="7" t="inlineStr">
        <is>
          <t>The decision is later than the spec, so the latest decision wins. Add it to the case.</t>
        </is>
      </c>
    </row>
    <row r="3">
      <c r="A3" s="6">
        <f>HYPERLINK("https://shopview.testrail.io/index.php?/cases/view/88561","C88561")</f>
        <v/>
      </c>
      <c r="B3" s="7" t="inlineStr">
        <is>
          <t>A failed upload, replacing a file, long names and a missing file</t>
        </is>
      </c>
      <c r="C3" s="7" t="inlineStr">
        <is>
          <t>No</t>
        </is>
      </c>
      <c r="D3" s="6">
        <f>HYPERLINK("https://shopview.atlassian.net/browse/SV-11103","SV-11103")</f>
        <v/>
      </c>
      <c r="E3" s="7" t="inlineStr">
        <is>
          <t>Branko Cicovic (design), 12 Oct 2026</t>
        </is>
      </c>
      <c r="F3" s="7" t="inlineStr">
        <is>
          <t>Long names end with "…" and show the full name in a tooltip on hover.</t>
        </is>
      </c>
      <c r="G3" s="7" t="inlineStr">
        <is>
          <t>The spec only says long names are shortened.</t>
        </is>
      </c>
      <c r="H3" s="7" t="inlineStr">
        <is>
          <t>The decision is later than the spec, so the latest decision wins. Add it to the case.</t>
        </is>
      </c>
    </row>
    <row r="4">
      <c r="A4" s="6">
        <f>HYPERLINK("https://shopview.testrail.io/index.php?/cases/view/88579","C88579")</f>
        <v/>
      </c>
      <c r="B4" s="7" t="inlineStr">
        <is>
          <t>On a phone: scrolling, overlapping items, many axles and long names</t>
        </is>
      </c>
      <c r="C4" s="7" t="inlineStr">
        <is>
          <t>No</t>
        </is>
      </c>
      <c r="D4" s="6">
        <f>HYPERLINK("https://shopview.atlassian.net/browse/SV-11103","SV-11103")</f>
        <v/>
      </c>
      <c r="E4" s="7" t="inlineStr">
        <is>
          <t>Branko Cicovic (design), 12 Oct 2026</t>
        </is>
      </c>
      <c r="F4" s="7" t="inlineStr">
        <is>
          <t>Long names end with "…" and show the full name in a tooltip on hover.</t>
        </is>
      </c>
      <c r="G4" s="7" t="inlineStr">
        <is>
          <t>The spec only says long names are shortened.</t>
        </is>
      </c>
      <c r="H4" s="7" t="inlineStr">
        <is>
          <t>The decision is later than the spec, so the latest decision wins. Add it to the case.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24" customWidth="1" min="3" max="3"/>
    <col width="16" customWidth="1" min="4" max="4"/>
    <col width="40" customWidth="1" min="5" max="5"/>
  </cols>
  <sheetData>
    <row r="1">
      <c r="A1" s="5" t="inlineStr">
        <is>
          <t>Spec rule or ticket</t>
        </is>
      </c>
      <c r="B1" s="5" t="inlineStr">
        <is>
          <t>What it says</t>
        </is>
      </c>
      <c r="C1" s="5" t="inlineStr">
        <is>
          <t>When it was added or decided</t>
        </is>
      </c>
      <c r="D1" s="5" t="inlineStr">
        <is>
          <t>Source</t>
        </is>
      </c>
      <c r="E1" s="5" t="inlineStr">
        <is>
          <t>What to do</t>
        </is>
      </c>
    </row>
    <row r="2">
      <c r="A2" s="7" t="inlineStr">
        <is>
          <t>S13-R14</t>
        </is>
      </c>
      <c r="B2" s="7" t="inlineStr">
        <is>
          <t>The inspected date is the date the inspection was first completed. Regenerating a report does not move it; reopening the inspection and completing it again gives it a new date, which is how a newer version is told apart</t>
        </is>
      </c>
      <c r="C2" s="7" t="inlineStr">
        <is>
          <t>5 Oct 2026 (5 Oct 2026: "Developer and QA questions answered")</t>
        </is>
      </c>
      <c r="D2" s="6">
        <f>HYPERLINK("https://shopview.atlassian.net/wiki/pages/viewpage.action?pageId=768507905","Spec page")</f>
        <v/>
      </c>
      <c r="E2" s="7" t="inlineStr">
        <is>
          <t>New rule with no case. Add a case if it should be tested.</t>
        </is>
      </c>
    </row>
    <row r="3">
      <c r="A3" s="7" t="inlineStr">
        <is>
          <t>S13-R15</t>
        </is>
      </c>
      <c r="B3" s="7" t="inlineStr">
        <is>
          <t>Regenerating a report does not post another note on the work order. The existing note keeps pointing at the most recent version (S13-R12)</t>
        </is>
      </c>
      <c r="C3" s="7" t="inlineStr">
        <is>
          <t>5 Oct 2026 (5 Oct 2026: "Developer and QA questions answered")</t>
        </is>
      </c>
      <c r="D3" s="6">
        <f>HYPERLINK("https://shopview.atlassian.net/wiki/pages/viewpage.action?pageId=768507905","Spec page")</f>
        <v/>
      </c>
      <c r="E3" s="7" t="inlineStr">
        <is>
          <t>New rule with no case. Add a case if it should be tested.</t>
        </is>
      </c>
    </row>
    <row r="4">
      <c r="A4" s="7" t="inlineStr">
        <is>
          <t>S15-E7</t>
        </is>
      </c>
      <c r="B4" s="7" t="inlineStr">
        <is>
          <t>When the target is a new work order, it is created as soon as it is chosen (S2-R11). If the drafting is cancelled, fails, returns nothing, or the user leaves, that work order stays, empty. Nothing is deleted automatically. The inspection stays Needs action, no provenance note is written, and a retry runs on the same work order</t>
        </is>
      </c>
      <c r="C4" s="7" t="inlineStr">
        <is>
          <t>between 29 Sep 2026 and 2 Oct 2026</t>
        </is>
      </c>
      <c r="D4" s="6">
        <f>HYPERLINK("https://shopview.atlassian.net/wiki/pages/viewpage.action?pageId=768507905","Spec page")</f>
        <v/>
      </c>
      <c r="E4" s="7" t="inlineStr">
        <is>
          <t>New rule with no case. Add a case if it should be tested.</t>
        </is>
      </c>
    </row>
    <row r="5">
      <c r="A5" s="7" t="inlineStr">
        <is>
          <t>S15-N6</t>
        </is>
      </c>
      <c r="B5" s="7" t="inlineStr">
        <is>
          <t>Photos are not sent to ShopCoach; the technician's note is the only evidence it reads</t>
        </is>
      </c>
      <c r="C5" s="7" t="inlineStr">
        <is>
          <t>between 29 Sep 2026 and 13 Oct 2026</t>
        </is>
      </c>
      <c r="D5" s="6">
        <f>HYPERLINK("https://shopview.atlassian.net/wiki/pages/viewpage.action?pageId=768507905","Spec page")</f>
        <v/>
      </c>
      <c r="E5" s="7" t="inlineStr">
        <is>
          <t>New rule with no case. Add a case if it should be tested.</t>
        </is>
      </c>
    </row>
    <row r="6">
      <c r="A6" s="7" t="inlineStr">
        <is>
          <t>S3-R8</t>
        </is>
      </c>
      <c r="B6" s="7" t="inlineStr">
        <is>
          <t>Once the inspection has been built from, the footer shows the outcome in place of Build lines: 'WO created S-235' or 'Lines added S-58', linking to that work order (S2-R13)</t>
        </is>
      </c>
      <c r="C6" s="7" t="inlineStr">
        <is>
          <t>29 Sep 2026 (29 Sep 2026: "QA contradiction pass answered")</t>
        </is>
      </c>
      <c r="D6" s="6">
        <f>HYPERLINK("https://shopview.atlassian.net/wiki/pages/viewpage.action?pageId=768507905","Spec page")</f>
        <v/>
      </c>
      <c r="E6" s="7" t="inlineStr">
        <is>
          <t>New rule with no case. Add a case if it should be tested.</t>
        </is>
      </c>
    </row>
    <row r="7">
      <c r="A7" s="7" t="inlineStr">
        <is>
          <t>S4-R5</t>
        </is>
      </c>
      <c r="B7" s="7" t="inlineStr">
        <is>
          <t>Once the inspection has been built from, the note shows the outcome in place of Build lines, worded as in S3-R8 (S2-R13)</t>
        </is>
      </c>
      <c r="C7" s="7" t="inlineStr">
        <is>
          <t>29 Sep 2026 (29 Sep 2026: "QA contradiction pass answered")</t>
        </is>
      </c>
      <c r="D7" s="6">
        <f>HYPERLINK("https://shopview.atlassian.net/wiki/pages/viewpage.action?pageId=768507905","Spec page")</f>
        <v/>
      </c>
      <c r="E7" s="7" t="inlineStr">
        <is>
          <t>New rule with no case. Add a case if it should be tested.</t>
        </is>
      </c>
    </row>
    <row r="8">
      <c r="A8" s="6">
        <f>HYPERLINK("https://shopview.atlassian.net/browse/SV-10938","SV-10938")</f>
        <v/>
      </c>
      <c r="B8" s="7" t="inlineStr">
        <is>
          <t>On a phone, filling an inspection has Save &amp; exit, like desktop. (Not in the spec yet.)</t>
        </is>
      </c>
      <c r="C8" s="7" t="inlineStr">
        <is>
          <t>9 Oct 2026, Milos Vasic</t>
        </is>
      </c>
      <c r="D8" s="6">
        <f>HYPERLINK("https://shopview.atlassian.net/browse/SV-10938","Jira")</f>
        <v/>
      </c>
      <c r="E8" s="7" t="inlineStr">
        <is>
          <t>Add a case if it should be tested.</t>
        </is>
      </c>
    </row>
    <row r="9">
      <c r="A9" s="6">
        <f>HYPERLINK("https://shopview.atlassian.net/browse/SV-10937","SV-10937")</f>
        <v/>
      </c>
      <c r="B9" s="7" t="inlineStr">
        <is>
          <t>An inspection on a completed line can now be filled and submitted. This changes how V1 worked, and no product decision is recorded.</t>
        </is>
      </c>
      <c r="C9" s="7" t="inlineStr">
        <is>
          <t>9 Oct 2026, developer</t>
        </is>
      </c>
      <c r="D9" s="6">
        <f>HYPERLINK("https://shopview.atlassian.net/browse/SV-10937","Jira")</f>
        <v/>
      </c>
      <c r="E9" s="7" t="inlineStr">
        <is>
          <t>Worth confirming with Milos before adding a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2026-10-14T07:01:36Z</dcterms:created>
  <dcterms:modified xsi:type="dcterms:W3CDTF">2026-10-14T07:01:36Z</dcterms:modified>
</cp:coreProperties>
</file>