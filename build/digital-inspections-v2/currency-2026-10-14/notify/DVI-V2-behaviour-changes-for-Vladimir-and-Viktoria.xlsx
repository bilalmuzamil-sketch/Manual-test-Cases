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ases to update" sheetId="2" state="visible" r:id="rId2"/>
    <sheet name="Later Jira decisions" sheetId="3" state="visible" r:id="rId3"/>
    <sheet name="New behaviour, no case yet"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color rgb="001155CC"/>
      <u val="single"/>
    </font>
    <font>
      <name val="Arial"/>
    </font>
    <font>
      <name val="Arial"/>
      <b val="1"/>
    </font>
    <font>
      <name val="Arial"/>
      <b val="1"/>
      <sz val="14"/>
    </font>
  </fonts>
  <fills count="3">
    <fill>
      <patternFill/>
    </fill>
    <fill>
      <patternFill patternType="gray125"/>
    </fill>
    <fill>
      <patternFill patternType="solid">
        <fgColor rgb="001F3864"/>
      </patternFill>
    </fill>
  </fills>
  <borders count="2">
    <border>
      <left/>
      <right/>
      <top/>
      <bottom/>
      <diagonal/>
    </border>
    <border>
      <bottom style="thin">
        <color rgb="00BFBFBF"/>
      </bottom>
    </border>
  </borders>
  <cellStyleXfs count="1">
    <xf numFmtId="0" fontId="0" fillId="0" borderId="0"/>
  </cellStyleXfs>
  <cellXfs count="8">
    <xf numFmtId="0" fontId="0" fillId="0" borderId="0" pivotButton="0" quotePrefix="0" xfId="0"/>
    <xf numFmtId="0" fontId="5"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00" customWidth="1" min="2" max="2"/>
  </cols>
  <sheetData>
    <row r="1">
      <c r="A1" s="1" t="inlineStr">
        <is>
          <t>DVI V2 test cases: what changed in the spec since 22 September</t>
        </is>
      </c>
      <c r="B1" s="2" t="inlineStr"/>
    </row>
    <row r="2">
      <c r="A2" s="2" t="inlineStr"/>
      <c r="B2" s="2" t="inlineStr"/>
    </row>
    <row r="3">
      <c r="A3" s="3" t="inlineStr">
        <is>
          <t>Hi Vladimir and Viktoria,</t>
        </is>
      </c>
      <c r="B3" s="2" t="inlineStr"/>
    </row>
    <row r="4">
      <c r="A4" s="2" t="inlineStr"/>
      <c r="B4" s="2" t="inlineStr">
        <is>
          <t>We checked the Digital Inspection V2 test cases against every current source on 14 October 2026, and we would like to share what has changed, in case it helps.</t>
        </is>
      </c>
    </row>
    <row r="5">
      <c r="A5" s="2" t="inlineStr"/>
      <c r="B5" s="2" t="inlineStr">
        <is>
          <t>Our cases were written against the spec as it was on 22 September. The spec has changed a number of times since, up to version 43 on 13 October. Some cases still follow the earlier wording.</t>
        </is>
      </c>
    </row>
    <row r="6">
      <c r="A6" s="3" t="inlineStr">
        <is>
          <t>Why you, Viktoria</t>
        </is>
      </c>
      <c r="B6" s="2" t="inlineStr">
        <is>
          <t>The DVI V2 team sync of 12 October says "QA on the feature squad owns writing and updating test cases", so these updates are yours to make. We have not edited any case.</t>
        </is>
      </c>
    </row>
    <row r="7">
      <c r="A7" s="3" t="inlineStr">
        <is>
          <t>Why you, Vladimir</t>
        </is>
      </c>
      <c r="B7" s="2" t="inlineStr">
        <is>
          <t>Some of these cases are automated. Where the behaviour changed, the automation may still check the old behaviour.</t>
        </is>
      </c>
    </row>
    <row r="8">
      <c r="A8" s="2" t="inlineStr"/>
      <c r="B8" s="2" t="inlineStr"/>
    </row>
    <row r="9">
      <c r="A9" s="3" t="inlineStr">
        <is>
          <t>What is in each tab</t>
        </is>
      </c>
      <c r="B9" s="2" t="inlineStr"/>
    </row>
    <row r="10">
      <c r="A10" s="3" t="inlineStr">
        <is>
          <t>Cases to update</t>
        </is>
      </c>
      <c r="B10" s="2" t="inlineStr">
        <is>
          <t>Only changes that alter what a case should check. One row per case and spec rule: what the spec said before and now, the sentence in the case that is no longer right, what it should check now, and when the spec changed it (from the spec's own change log). Wording-only changes are left out.</t>
        </is>
      </c>
    </row>
    <row r="11">
      <c r="A11" s="3" t="inlineStr">
        <is>
          <t>Later Jira decisions</t>
        </is>
      </c>
      <c r="B11" s="2" t="inlineStr">
        <is>
          <t>Decisions made in Jira after the spec text was written. The latest decision wins, so the case should follow it.</t>
        </is>
      </c>
    </row>
    <row r="12">
      <c r="A12" s="3" t="inlineStr">
        <is>
          <t>New behaviour, no case yet</t>
        </is>
      </c>
      <c r="B12" s="2" t="inlineStr">
        <is>
          <t>New behaviour in the spec, or decided later in Jira, that no existing case checks. A new case is needed if it should be tested.</t>
        </is>
      </c>
    </row>
    <row r="13">
      <c r="A13" s="2" t="inlineStr"/>
      <c r="B13" s="2" t="inlineStr"/>
    </row>
    <row r="14">
      <c r="A14" s="3" t="inlineStr">
        <is>
          <t>At a glance</t>
        </is>
      </c>
      <c r="B14" s="2" t="inlineStr"/>
    </row>
    <row r="15">
      <c r="A15" s="3" t="inlineStr">
        <is>
          <t>Case rows to update</t>
        </is>
      </c>
      <c r="B15" s="2">
        <f>COUNTA('Cases to update'!A2:A)</f>
        <v/>
      </c>
    </row>
    <row r="16">
      <c r="A16" s="3" t="inlineStr">
        <is>
          <t>Rows on automated cases</t>
        </is>
      </c>
      <c r="B16" s="2">
        <f>COUNTIF('Cases to update'!C2:C,"Yes")</f>
        <v/>
      </c>
    </row>
    <row r="17">
      <c r="A17" s="3" t="inlineStr">
        <is>
          <t>Later Jira decisions</t>
        </is>
      </c>
      <c r="B17" s="2">
        <f>COUNTA('Later Jira decisions'!A2:A)</f>
        <v/>
      </c>
    </row>
    <row r="18">
      <c r="A18" s="3" t="inlineStr">
        <is>
          <t>Rules with no case yet</t>
        </is>
      </c>
      <c r="B18" s="2">
        <f>COUNTA('New behaviour, no case yet'!A2:A)</f>
        <v/>
      </c>
    </row>
    <row r="19">
      <c r="A19" s="2" t="inlineStr"/>
      <c r="B19" s="2" t="inlineStr"/>
    </row>
    <row r="20">
      <c r="A20" s="3" t="inlineStr">
        <is>
          <t>Sources</t>
        </is>
      </c>
      <c r="B20" s="2" t="inlineStr"/>
    </row>
    <row r="21">
      <c r="A21" s="3" t="inlineStr">
        <is>
          <t>The spec</t>
        </is>
      </c>
      <c r="B21" s="4">
        <f>HYPERLINK("https://shopview.atlassian.net/wiki/pages/viewpage.action?pageId=768507905","Confluence page 768507905, Digital Inspections V2, version 43 (13 Oct 2026)")</f>
        <v/>
      </c>
    </row>
    <row r="22">
      <c r="A22" s="3" t="inlineStr">
        <is>
          <t>Team sync, 12 Oct 2026</t>
        </is>
      </c>
      <c r="B22" s="4">
        <f>HYPERLINK("https://shopview.slack.com/archives/C0C39T5MLMB/p1791807912692899","Milos Vasic in #fs-dvi-v2")</f>
        <v/>
      </c>
    </row>
    <row r="23">
      <c r="A23" s="3" t="inlineStr">
        <is>
          <t>The epic</t>
        </is>
      </c>
      <c r="B23" s="4">
        <f>HYPERLINK("https://shopview.atlassian.net/browse/SV-8181","SV-8181 and its tickets")</f>
        <v/>
      </c>
    </row>
    <row r="24">
      <c r="A24" s="3" t="inlineStr">
        <is>
          <t>The test cases</t>
        </is>
      </c>
      <c r="B24" s="4">
        <f>HYPERLINK("https://shopview.testrail.io/index.php?/suites/view/1&amp;group_id=6658","TestRail folder: Digital Inspection V2")</f>
        <v/>
      </c>
    </row>
    <row r="25">
      <c r="A25" s="3" t="inlineStr">
        <is>
          <t>How the dates were found</t>
        </is>
      </c>
      <c r="B25" s="2" t="inlineStr">
        <is>
          <t>From the Change Log at the end of the spec. The column "How we know the date" says whether the entry names the rule or describes the change.</t>
        </is>
      </c>
    </row>
    <row r="26">
      <c r="A26" s="2" t="inlineStr"/>
      <c r="B26" s="2" t="inlineStr"/>
    </row>
    <row r="27">
      <c r="A27" s="3" t="inlineStr">
        <is>
          <t>Thank you,</t>
        </is>
      </c>
      <c r="B27" s="2" t="inlineStr">
        <is>
          <t>Bilal Muzamil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12" customWidth="1" min="3" max="3"/>
    <col width="22" customWidth="1" min="4" max="4"/>
    <col width="10" customWidth="1" min="5" max="5"/>
    <col width="50" customWidth="1" min="6" max="6"/>
    <col width="50" customWidth="1" min="7" max="7"/>
    <col width="40" customWidth="1" min="8" max="8"/>
    <col width="45" customWidth="1" min="9" max="9"/>
    <col width="45" customWidth="1" min="10" max="10"/>
    <col width="13" customWidth="1" min="11" max="11"/>
    <col width="30" customWidth="1" min="12" max="12"/>
    <col width="26" customWidth="1" min="13" max="13"/>
    <col width="12" customWidth="1" min="14" max="14"/>
    <col width="34" customWidth="1" min="15" max="15"/>
    <col width="14" customWidth="1" min="16" max="16"/>
  </cols>
  <sheetData>
    <row r="1">
      <c r="A1" s="5" t="inlineStr">
        <is>
          <t>Case</t>
        </is>
      </c>
      <c r="B1" s="5" t="inlineStr">
        <is>
          <t>Case title</t>
        </is>
      </c>
      <c r="C1" s="5" t="inlineStr">
        <is>
          <t>Automated?</t>
        </is>
      </c>
      <c r="D1" s="5" t="inlineStr">
        <is>
          <t>Who this is for</t>
        </is>
      </c>
      <c r="E1" s="5" t="inlineStr">
        <is>
          <t>Spec rule</t>
        </is>
      </c>
      <c r="F1" s="5" t="inlineStr">
        <is>
          <t>What the spec said before (22 Sep 2026)</t>
        </is>
      </c>
      <c r="G1" s="5" t="inlineStr">
        <is>
          <t>What the spec says now (version 43, 13 Oct 2026)</t>
        </is>
      </c>
      <c r="H1" s="5" t="inlineStr">
        <is>
          <t>What changed, in plain words</t>
        </is>
      </c>
      <c r="I1" s="5" t="inlineStr">
        <is>
          <t>What the case says now (no longer right)</t>
        </is>
      </c>
      <c r="J1" s="5" t="inlineStr">
        <is>
          <t>What the case should check now</t>
        </is>
      </c>
      <c r="K1" s="5" t="inlineStr">
        <is>
          <t>When the spec changed</t>
        </is>
      </c>
      <c r="L1" s="5" t="inlineStr">
        <is>
          <t>Spec change log entry</t>
        </is>
      </c>
      <c r="M1" s="5" t="inlineStr">
        <is>
          <t>How we know the date</t>
        </is>
      </c>
      <c r="N1" s="5" t="inlineStr">
        <is>
          <t>Decided in Jira</t>
        </is>
      </c>
      <c r="O1" s="5" t="inlineStr">
        <is>
          <t>What to do</t>
        </is>
      </c>
      <c r="P1" s="5" t="inlineStr">
        <is>
          <t>Where in the spec</t>
        </is>
      </c>
    </row>
    <row r="2">
      <c r="A2" s="6">
        <f>HYPERLINK("https://shopview.testrail.io/index.php?/cases/view/88507","C88507")</f>
        <v/>
      </c>
      <c r="B2" s="7" t="inlineStr">
        <is>
          <t>Note required option on checkbox and per-axle fields, on by default</t>
        </is>
      </c>
      <c r="C2" s="7" t="inlineStr">
        <is>
          <t>No</t>
        </is>
      </c>
      <c r="D2" s="7" t="inlineStr">
        <is>
          <t>Viktoria (case text)</t>
        </is>
      </c>
      <c r="E2" s="7" t="inlineStr">
        <is>
          <t>S1-R2</t>
        </is>
      </c>
      <c r="F2" s="7" t="inlineStr">
        <is>
          <t>The option will be on by default for newly added checkbox fields</t>
        </is>
      </c>
      <c r="G2" s="7" t="inlineStr">
        <is>
          <t>The option will be on by default for newly added checkbox fields, starters included</t>
        </is>
      </c>
      <c r="H2" s="7" t="inlineStr">
        <is>
          <t>The 'note required' option being on by default for newly added checkbox fields now also applies to the fields in the starter templates.</t>
        </is>
      </c>
      <c r="I2" s="7" t="inlineStr">
        <is>
          <t>That option is on by default for a newly added checkbox field.</t>
        </is>
      </c>
      <c r="J2" s="7" t="inlineStr">
        <is>
          <t>Also check that a template created from a starter template has 'Note required if Monitor / Not OK' already turned on for its checkbox fields.</t>
        </is>
      </c>
      <c r="K2" s="7" t="inlineStr">
        <is>
          <t>between 29 Sep 2026 and 13 Oct 2026</t>
        </is>
      </c>
      <c r="L2" s="7" t="inlineStr"/>
      <c r="M2" s="7" t="inlineStr">
        <is>
          <t>Not named in the change log; changed between 29 Sep and 13 Oct</t>
        </is>
      </c>
      <c r="N2" s="7" t="inlineStr"/>
      <c r="O2" s="7" t="inlineStr">
        <is>
          <t>Update the steps and expected results to match the new text.</t>
        </is>
      </c>
      <c r="P2" s="6">
        <f>HYPERLINK("https://shopview.atlassian.net/wiki/pages/viewpage.action?pageId=768507905","Spec page")</f>
        <v/>
      </c>
    </row>
    <row r="3">
      <c r="A3" s="6">
        <f>HYPERLINK("https://shopview.testrail.io/index.php?/cases/view/88513","C88513")</f>
        <v/>
      </c>
      <c r="B3" s="7" t="inlineStr">
        <is>
          <t>Choose which work order gets the lines, or a new one, before drafting</t>
        </is>
      </c>
      <c r="C3" s="7" t="inlineStr">
        <is>
          <t>Yes</t>
        </is>
      </c>
      <c r="D3" s="7" t="inlineStr">
        <is>
          <t>Viktoria (case text) and Vladimir (automation)</t>
        </is>
      </c>
      <c r="E3" s="7" t="inlineStr">
        <is>
          <t>S2-R15</t>
        </is>
      </c>
      <c r="F3" s="7" t="inlineStr">
        <is>
          <t>A destination that cannot take lines will keep its place in the menu and say why. A destination that silently stops being offered reads as a fault</t>
        </is>
      </c>
      <c r="G3" s="7" t="inlineStr">
        <is>
          <t>(removed from the spec)</t>
        </is>
      </c>
      <c r="H3" s="7" t="inlineStr">
        <is>
          <t>Removed: a destination that cannot take lines no longer stays in the menu with a reason; it is simply not shown.</t>
        </is>
      </c>
      <c r="I3" s="7" t="inlineStr">
        <is>
          <t>A destination that cannot take lines keeps its place in the menu and says why, rather than silently disappearing.</t>
        </is>
      </c>
      <c r="J3" s="7" t="inlineStr">
        <is>
          <t>Remove step 4: when the inspection's own work order cannot take lines it is not listed in the destination menu at all (no greyed-out entry with a reason); the menu offers only a new work order.</t>
        </is>
      </c>
      <c r="K3" s="7" t="inlineStr">
        <is>
          <t>29 Sep 2026</t>
        </is>
      </c>
      <c r="L3" s="7" t="inlineStr">
        <is>
          <t>29 Sep 2026: "QA contradiction pass answered"</t>
        </is>
      </c>
      <c r="M3" s="7" t="inlineStr">
        <is>
          <t>The change log entry describes this change</t>
        </is>
      </c>
      <c r="N3" s="7" t="inlineStr"/>
      <c r="O3" s="7" t="inlineStr">
        <is>
          <t>The spec no longer has this rule. Remove or rewrite the steps and expected results that check it. Vladimir: the automation for this case may check the old behaviour.</t>
        </is>
      </c>
      <c r="P3" s="6">
        <f>HYPERLINK("https://shopview.atlassian.net/wiki/pages/viewpage.action?pageId=768507905","Spec page")</f>
        <v/>
      </c>
    </row>
    <row r="4">
      <c r="A4" s="6">
        <f>HYPERLINK("https://shopview.testrail.io/index.php?/cases/view/88513","C88513")</f>
        <v/>
      </c>
      <c r="B4" s="7" t="inlineStr">
        <is>
          <t>Choose which work order gets the lines, or a new one, before drafting</t>
        </is>
      </c>
      <c r="C4" s="7" t="inlineStr">
        <is>
          <t>Yes</t>
        </is>
      </c>
      <c r="D4" s="7" t="inlineStr">
        <is>
          <t>Viktoria (case text) and Vladimir (automation)</t>
        </is>
      </c>
      <c r="E4" s="7" t="inlineStr">
        <is>
          <t>S2-R5</t>
        </is>
      </c>
      <c r="F4" s="7" t="inlineStr">
        <is>
          <t>When the work order the inspection was run on is not an eligible build target, the system will create a new work order without asking. It is ineligible when its status is Complete, Invoiced, Paid or Declined, or when an invoice already exists. Declined counts as ineligible because lines added to a refused order would revive work the customer turned down</t>
        </is>
      </c>
      <c r="G4" s="7" t="inlineStr">
        <is>
          <t>When the work order the inspection was run on is not an eligible build target, the destination menu still opens and offers only a new work order. It is ineligible when its status is Complete, Invoiced, Paid or Declined, or when an invoice already exists. Declined counts as ineligible because lines added to a refused order would revive work the customer turned down</t>
        </is>
      </c>
      <c r="H4" s="7" t="inlineStr">
        <is>
          <t>When the inspection's own work order cannot take lines, the destination menu still opens and offers only a new work order, instead of a new work order being created without asking.</t>
        </is>
      </c>
      <c r="I4" s="7" t="inlineStr">
        <is>
          <t>When the run-on work order is not eligible (Complete, Invoiced, Paid, Declined, or an invoice already exists), a new work order is created without asking.</t>
        </is>
      </c>
      <c r="J4" s="7" t="inlineStr">
        <is>
          <t>When the run-on work order is not eligible (Complete, Invoiced, Paid, Declined, or it already has an invoice), pressing the build action still opens the destination menu and it offers only a new work order; picking it goes to drafting for a new work order with the same customer and asset.</t>
        </is>
      </c>
      <c r="K4" s="7" t="inlineStr">
        <is>
          <t>29 Sep 2026</t>
        </is>
      </c>
      <c r="L4" s="7" t="inlineStr">
        <is>
          <t>29 Sep 2026: "QA contradiction pass answered"</t>
        </is>
      </c>
      <c r="M4" s="7" t="inlineStr">
        <is>
          <t>The change log entry describes this change</t>
        </is>
      </c>
      <c r="N4" s="7" t="inlineStr"/>
      <c r="O4" s="7" t="inlineStr">
        <is>
          <t>Update the steps and expected results to match the new text. Vladimir: the automation for this case may check the old behaviour.</t>
        </is>
      </c>
      <c r="P4" s="6">
        <f>HYPERLINK("https://shopview.atlassian.net/wiki/pages/viewpage.action?pageId=768507905","Spec page")</f>
        <v/>
      </c>
    </row>
    <row r="5">
      <c r="A5" s="6">
        <f>HYPERLINK("https://shopview.testrail.io/index.php?/cases/view/88515","C88515")</f>
        <v/>
      </c>
      <c r="B5" s="7" t="inlineStr">
        <is>
          <t>After building you land on Lines, the finding is marked done, rebuild asks</t>
        </is>
      </c>
      <c r="C5" s="7" t="inlineStr">
        <is>
          <t>No</t>
        </is>
      </c>
      <c r="D5" s="7" t="inlineStr">
        <is>
          <t>Viktoria (case text)</t>
        </is>
      </c>
      <c r="E5" s="7" t="inlineStr">
        <is>
          <t>S2-R13</t>
        </is>
      </c>
      <c r="F5" s="7" t="inlineStr">
        <is>
          <t>If lines have already been added from this inspection, the user will be asked to confirm before adding a second set. The check is made when Add Lines is pressed, on the state at that moment</t>
        </is>
      </c>
      <c r="G5" s="7" t="inlineStr">
        <is>
          <t>An inspection is built from once. After lines have been added from it, to this work order or to a new one, no entry point offers the build action again: the completed inspection, the work order note and the asset row show the outcome instead, with a link to the work order that got the lines. The check is made again when Add Lines is pressed; if the inspection was built from elsewhere in the meantime, nothing is added and the user is told where the lines went</t>
        </is>
      </c>
      <c r="H5" s="7" t="inlineStr">
        <is>
          <t>Lines can be built from an inspection only once: instead of asking to confirm a second set, every place shows the result with a link to the work order that got the lines, and a late second Add Lines adds nothing and tells the user where the lines went.</t>
        </is>
      </c>
      <c r="I5" s="7" t="inlineStr">
        <is>
          <t>If lines were already added from this inspection, the user is asked to confirm before adding a second set, checked when Add Lines is pressed.</t>
        </is>
      </c>
      <c r="J5" s="7" t="inlineStr">
        <is>
          <t>After lines have been added, the build action is no longer offered: the completed inspection, the work order note and the asset row show the outcome with a link to the work order that got the lines. If the inspection was built from elsewhere while a draft was open, pressing Add Lines adds nothing and tells the user where the lines went.</t>
        </is>
      </c>
      <c r="K5" s="7" t="inlineStr">
        <is>
          <t>29 Sep 2026</t>
        </is>
      </c>
      <c r="L5" s="7" t="inlineStr">
        <is>
          <t>29 Sep 2026: "QA contradiction pass answered"</t>
        </is>
      </c>
      <c r="M5" s="7" t="inlineStr">
        <is>
          <t>The change log entry names this rule</t>
        </is>
      </c>
      <c r="N5" s="7" t="inlineStr"/>
      <c r="O5" s="7" t="inlineStr">
        <is>
          <t>Update the steps and expected results to match the new text.</t>
        </is>
      </c>
      <c r="P5" s="6">
        <f>HYPERLINK("https://shopview.atlassian.net/wiki/pages/viewpage.action?pageId=768507905","Spec page")</f>
        <v/>
      </c>
    </row>
    <row r="6">
      <c r="A6" s="6">
        <f>HYPERLINK("https://shopview.testrail.io/index.php?/cases/view/88518","C88518")</f>
        <v/>
      </c>
      <c r="B6" s="7" t="inlineStr">
        <is>
          <t>Building lines with long notes, many findings, or a deleted work order</t>
        </is>
      </c>
      <c r="C6" s="7" t="inlineStr">
        <is>
          <t>Yes</t>
        </is>
      </c>
      <c r="D6" s="7" t="inlineStr">
        <is>
          <t>Viktoria (case text) and Vladimir (automation)</t>
        </is>
      </c>
      <c r="E6" s="7" t="inlineStr">
        <is>
          <t>S2-E6</t>
        </is>
      </c>
      <c r="F6" s="7" t="inlineStr">
        <is>
          <t>If two users draft from the same inspection at once, nothing is duplicated by the drafting itself, because a draft is not a work order line. Duplication happens only if both press Add Lines, which is accepted and recoverable</t>
        </is>
      </c>
      <c r="G6" s="7" t="inlineStr">
        <is>
          <t>If two users draft from the same inspection at once, nothing is duplicated by the drafting itself, because a draft is not a work order line. When both press Add Lines, only the first adds lines; the second adds nothing and the user is told where the lines went (S2-R13)</t>
        </is>
      </c>
      <c r="H6" s="7" t="inlineStr">
        <is>
          <t>When two users both press Add Lines on the same inspection, only the first adds lines; the second adds nothing and is told where the lines went (before, both sets were added).</t>
        </is>
      </c>
      <c r="I6" s="7" t="inlineStr">
        <is>
          <t>If two users draft from the same inspection at once, the drafting itself duplicates nothing; duplication happens only if both press Add Lines, which is accepted and recoverable.</t>
        </is>
      </c>
      <c r="J6" s="7" t="inlineStr">
        <is>
          <t>If two users draft from the same inspection at once, drafting duplicates nothing; when both press Add Lines, only the first adds lines and the second adds nothing and is told where the lines went.</t>
        </is>
      </c>
      <c r="K6" s="7" t="inlineStr">
        <is>
          <t>7 Oct 2026</t>
        </is>
      </c>
      <c r="L6" s="7" t="inlineStr">
        <is>
          <t>7 Oct 2026: "Leftovers from the built-once rule; file limit; submit name"</t>
        </is>
      </c>
      <c r="M6" s="7" t="inlineStr">
        <is>
          <t>The change log entry names this rule</t>
        </is>
      </c>
      <c r="N6" s="7" t="inlineStr"/>
      <c r="O6" s="7" t="inlineStr">
        <is>
          <t>Update the steps and expected results to match the new text. Vladimir: the automation for this case may check the old behaviour.</t>
        </is>
      </c>
      <c r="P6" s="6">
        <f>HYPERLINK("https://shopview.atlassian.net/wiki/pages/viewpage.action?pageId=768507905","Spec page")</f>
        <v/>
      </c>
    </row>
    <row r="7">
      <c r="A7" s="6">
        <f>HYPERLINK("https://shopview.testrail.io/index.php?/cases/view/88518","C88518")</f>
        <v/>
      </c>
      <c r="B7" s="7" t="inlineStr">
        <is>
          <t>Building lines with long notes, many findings, or a deleted work order</t>
        </is>
      </c>
      <c r="C7" s="7" t="inlineStr">
        <is>
          <t>Yes</t>
        </is>
      </c>
      <c r="D7" s="7" t="inlineStr">
        <is>
          <t>Viktoria (case text) and Vladimir (automation)</t>
        </is>
      </c>
      <c r="E7" s="7" t="inlineStr">
        <is>
          <t>S2-E12</t>
        </is>
      </c>
      <c r="F7" s="7" t="inlineStr">
        <is>
          <t>If the work order the inspection was run on is deleted, the inspection survives it (S5-R21) and stays listed on the asset with a dash in its work order column. Where the lines had been added to that same work order they are gone with it, and the inspection counts as needing a work order again</t>
        </is>
      </c>
      <c r="G7" s="7" t="inlineStr">
        <is>
          <t>If the work order the inspection was run on is deleted, an inspection that has a report survives it as a read-only record (S5-E3). Lines that had been added to that work order are gone with it. The inspection does not count as needing a work order, because it can no longer be built from</t>
        </is>
      </c>
      <c r="H7" s="7" t="inlineStr">
        <is>
          <t>When the inspection's work order is deleted, only an inspection that has a report survives, as a read-only record; it no longer counts as needing a work order, because it can no longer be built from (before, it counted as needing one again).</t>
        </is>
      </c>
      <c r="I7" s="7" t="inlineStr">
        <is>
          <t>If the run-on work order is deleted, the inspection survives it and stays listed on the asset with a dash in its work order column; any lines added to that work order are gone with it and the inspection counts as needing a work order again.</t>
        </is>
      </c>
      <c r="J7" s="7" t="inlineStr">
        <is>
          <t>If the run-on work order is deleted, an inspection that has a report survives as a read-only record (one with no report is deleted with the work order); lines added to that work order are gone with it; the inspection does not count as needing a work order and cannot be built from.</t>
        </is>
      </c>
      <c r="K7" s="7" t="inlineStr">
        <is>
          <t>6 Oct 2026</t>
        </is>
      </c>
      <c r="L7" s="7" t="inlineStr">
        <is>
          <t>6 Oct 2026: "Deleted work orders, removed inspections and splits"
Also: 7 Oct 2026: "Deleted work order after a build"</t>
        </is>
      </c>
      <c r="M7" s="7" t="inlineStr">
        <is>
          <t>The change log entry describes this change</t>
        </is>
      </c>
      <c r="N7" s="7" t="inlineStr"/>
      <c r="O7" s="7" t="inlineStr">
        <is>
          <t>Update the steps and expected results to match the new text. Vladimir: the automation for this case may check the old behaviour.</t>
        </is>
      </c>
      <c r="P7" s="6">
        <f>HYPERLINK("https://shopview.atlassian.net/wiki/pages/viewpage.action?pageId=768507905","Spec page")</f>
        <v/>
      </c>
    </row>
    <row r="8">
      <c r="A8" s="6">
        <f>HYPERLINK("https://shopview.testrail.io/index.php?/cases/view/88520","C88520")</f>
        <v/>
      </c>
      <c r="B8" s="7" t="inlineStr">
        <is>
          <t>The summary card, counts per verdict, and the section review</t>
        </is>
      </c>
      <c r="C8" s="7" t="inlineStr">
        <is>
          <t>Yes</t>
        </is>
      </c>
      <c r="D8" s="7" t="inlineStr">
        <is>
          <t>Viktoria (case text) and Vladimir (automation)</t>
        </is>
      </c>
      <c r="E8" s="7" t="inlineStr">
        <is>
          <t>S3-R4</t>
        </is>
      </c>
      <c r="F8" s="7" t="inlineStr">
        <is>
          <t>The screen will lead with a summary card: the completion line, a count per verdict, and a findings list naming each flagged position as field, axle, row and position with the reading that earned it</t>
        </is>
      </c>
      <c r="G8" s="7" t="inlineStr">
        <is>
          <t>The screen will lead with a summary card: the completion line, a count per verdict, and a findings list naming each flagged row as field, axle and row, followed by every flagged position on it with its reading, for example 'Brake &amp; tire measurements · Axle 1 · Tire pressure: left outer 42 psi, right outer 40 psi'</t>
        </is>
      </c>
      <c r="H8" s="7" t="inlineStr">
        <is>
          <t>The findings list on the completed screen now names each flagged row (field, axle and row) followed by every flagged position on it with its reading, instead of one entry per flagged position.</t>
        </is>
      </c>
      <c r="I8" s="7" t="inlineStr">
        <is>
          <t>The screen leads with a summary card: the completion line, a count per verdict, and a findings list naming each flagged position (field, axle, row, position) with the reading that earned it.</t>
        </is>
      </c>
      <c r="J8" s="7" t="inlineStr">
        <is>
          <t>The findings list has one entry per flagged row, naming the field, axle and row, followed by every flagged position on that row with its reading (for example 'Brake &amp; tire measurements · Axle 1 · Tire pressure: left outer 42 psi, right outer 40 psi').</t>
        </is>
      </c>
      <c r="K8" s="7" t="inlineStr">
        <is>
          <t>29 Sep 2026</t>
        </is>
      </c>
      <c r="L8" s="7" t="inlineStr">
        <is>
          <t>29 Sep 2026: "QA contradiction pass answered"</t>
        </is>
      </c>
      <c r="M8" s="7" t="inlineStr">
        <is>
          <t>The change log entry describes this change</t>
        </is>
      </c>
      <c r="N8" s="7" t="inlineStr"/>
      <c r="O8" s="7" t="inlineStr">
        <is>
          <t>Update the steps and expected results to match the new text. Vladimir: the automation for this case may check the old behaviour.</t>
        </is>
      </c>
      <c r="P8" s="6">
        <f>HYPERLINK("https://shopview.atlassian.net/wiki/pages/viewpage.action?pageId=768507905","Spec page")</f>
        <v/>
      </c>
    </row>
    <row r="9">
      <c r="A9" s="6">
        <f>HYPERLINK("https://shopview.testrail.io/index.php?/cases/view/88520","C88520")</f>
        <v/>
      </c>
      <c r="B9" s="7" t="inlineStr">
        <is>
          <t>The summary card, counts per verdict, and the section review</t>
        </is>
      </c>
      <c r="C9" s="7" t="inlineStr">
        <is>
          <t>Yes</t>
        </is>
      </c>
      <c r="D9" s="7" t="inlineStr">
        <is>
          <t>Viktoria (case text) and Vladimir (automation)</t>
        </is>
      </c>
      <c r="E9" s="7" t="inlineStr">
        <is>
          <t>S3-R6</t>
        </is>
      </c>
      <c r="F9" s="7" t="inlineStr">
        <is>
          <t>With ShopCoach the card's footer will offer View PDF, Go to work order and Build lines, and a note above it will name the product once. Without ShopCoach the footer will offer View PDF and Go to work order, and the same space will carry a plain line saying the findings are on the customer report and in the work order note feed and that the lines are added on the work order</t>
        </is>
      </c>
      <c r="G9" s="7" t="inlineStr">
        <is>
          <t>With ShopCoach the card's footer will offer View PDF, Go to work order and Build lines, and a note above it will name the product once. Without ShopCoach the footer will offer View PDF and Go to work order, and the same space will carry a plain line saying the findings are on the customer report and in the work order note feed and that the lines are added on the work order. When the work order the inspection was run on has been deleted, the footer offers View PDF only, with or without ShopCoach, and no plain line; it also shows the outcome when the lines went onto another work order that still exists (S5-E3)</t>
        </is>
      </c>
      <c r="H9" s="7" t="inlineStr">
        <is>
          <t>When the inspection's work order has been deleted, the completed screen's footer offers only View PDF, with or without ShopCoach and with no explanatory line, and also shows the result if the lines went onto another work order that still exists.</t>
        </is>
      </c>
      <c r="I9" s="7" t="inlineStr">
        <is>
          <t>With ShopCoach the card footer offers View PDF, Go to work order and Build lines with the product named once above it; without ShopCoach it offers View PDF and Go to work order plus a plain line pointing to the customer report, the work order note feed and where the lines are added.</t>
        </is>
      </c>
      <c r="J9" s="7" t="inlineStr">
        <is>
          <t>Add: when the run-on work order has been deleted, the footer offers View PDF only (with or without ShopCoach) and no plain line, and it shows the outcome if the lines went onto another work order that still exists.</t>
        </is>
      </c>
      <c r="K9" s="7" t="inlineStr">
        <is>
          <t>7 Oct 2026</t>
        </is>
      </c>
      <c r="L9" s="7" t="inlineStr">
        <is>
          <t>7 Oct 2026: "Deleted work order: outcome, footer, reopened, merge (SV-10965)"
Also: 7 Oct 2026: "Deleted work order after a build"</t>
        </is>
      </c>
      <c r="M9" s="7" t="inlineStr">
        <is>
          <t>The change log entry describes this change</t>
        </is>
      </c>
      <c r="N9" s="6">
        <f>HYPERLINK("https://shopview.atlassian.net/browse/SV-10965","SV-10965")</f>
        <v/>
      </c>
      <c r="O9" s="7" t="inlineStr">
        <is>
          <t>Update the steps and expected results to match the new text. Vladimir: the automation for this case may check the old behaviour.</t>
        </is>
      </c>
      <c r="P9" s="6">
        <f>HYPERLINK("https://shopview.atlassian.net/wiki/pages/viewpage.action?pageId=768507905","Spec page")</f>
        <v/>
      </c>
    </row>
    <row r="10">
      <c r="A10" s="6">
        <f>HYPERLINK("https://shopview.testrail.io/index.php?/cases/view/88522","C88522")</f>
        <v/>
      </c>
      <c r="B10" s="7" t="inlineStr">
        <is>
          <t>Building lines when the work order is deleted, built twice, or reopened</t>
        </is>
      </c>
      <c r="C10" s="7" t="inlineStr">
        <is>
          <t>Yes</t>
        </is>
      </c>
      <c r="D10" s="7" t="inlineStr">
        <is>
          <t>Viktoria (case text) and Vladimir (automation)</t>
        </is>
      </c>
      <c r="E10" s="7" t="inlineStr">
        <is>
          <t>S2-R13</t>
        </is>
      </c>
      <c r="F10" s="7" t="inlineStr">
        <is>
          <t>If lines have already been added from this inspection, the user will be asked to confirm before adding a second set. The check is made when Add Lines is pressed, on the state at that moment</t>
        </is>
      </c>
      <c r="G10" s="7" t="inlineStr">
        <is>
          <t>An inspection is built from once. After lines have been added from it, to this work order or to a new one, no entry point offers the build action again: the completed inspection, the work order note and the asset row show the outcome instead, with a link to the work order that got the lines. The check is made again when Add Lines is pressed; if the inspection was built from elsewhere in the meantime, nothing is added and the user is told where the lines went</t>
        </is>
      </c>
      <c r="H10" s="7" t="inlineStr">
        <is>
          <t>Lines can be built from an inspection only once: instead of asking to confirm a second set, every place shows the result with a link to the work order that got the lines, and a late second Add Lines adds nothing and tells the user where the lines went.</t>
        </is>
      </c>
      <c r="I10" s="7" t="inlineStr">
        <is>
          <t>In a second browser signed in as another user, build from the same inspection while this screen is still open in the first; check the re-build confirmation reflects the current state, not the state when the screen loaded.</t>
        </is>
      </c>
      <c r="J10" s="7" t="inlineStr">
        <is>
          <t>After the other user has added lines, pressing Add Lines on this still-open screen adds nothing and tells the user where the lines went; the build action is replaced by the outcome with a link to the work order that got the lines.</t>
        </is>
      </c>
      <c r="K10" s="7" t="inlineStr">
        <is>
          <t>29 Sep 2026</t>
        </is>
      </c>
      <c r="L10" s="7" t="inlineStr">
        <is>
          <t>29 Sep 2026: "QA contradiction pass answered"</t>
        </is>
      </c>
      <c r="M10" s="7" t="inlineStr">
        <is>
          <t>The change log entry names this rule</t>
        </is>
      </c>
      <c r="N10" s="7" t="inlineStr"/>
      <c r="O10" s="7" t="inlineStr">
        <is>
          <t>Update the steps and expected results to match the new text. Vladimir: the automation for this case may check the old behaviour.</t>
        </is>
      </c>
      <c r="P10" s="6">
        <f>HYPERLINK("https://shopview.atlassian.net/wiki/pages/viewpage.action?pageId=768507905","Spec page")</f>
        <v/>
      </c>
    </row>
    <row r="11">
      <c r="A11" s="6">
        <f>HYPERLINK("https://shopview.testrail.io/index.php?/cases/view/88522","C88522")</f>
        <v/>
      </c>
      <c r="B11" s="7" t="inlineStr">
        <is>
          <t>Building lines when the work order is deleted, built twice, or reopened</t>
        </is>
      </c>
      <c r="C11" s="7" t="inlineStr">
        <is>
          <t>Yes</t>
        </is>
      </c>
      <c r="D11" s="7" t="inlineStr">
        <is>
          <t>Viktoria (case text) and Vladimir (automation)</t>
        </is>
      </c>
      <c r="E11" s="7" t="inlineStr">
        <is>
          <t>S3-E1</t>
        </is>
      </c>
      <c r="F11" s="7" t="inlineStr">
        <is>
          <t>If the work order the inspection was run on has been deleted, only the option to create a new work order is offered</t>
        </is>
      </c>
      <c r="G11" s="7" t="inlineStr">
        <is>
          <t>If the work order the inspection was run on has been deleted, no build action is offered (S5-E3). If it was built from before the deletion, the footer shows the outcome instead (S3-R8)</t>
        </is>
      </c>
      <c r="H11" s="7" t="inlineStr">
        <is>
          <t>When the inspection's work order has been deleted, no build action is offered at all (before, only 'a new work order' was offered); if lines were built before the deletion, the footer shows the result instead.</t>
        </is>
      </c>
      <c r="I11" s="7" t="inlineStr">
        <is>
          <t>If the run-on work order has been deleted, only the option to create a new work order is offered.</t>
        </is>
      </c>
      <c r="J11" s="7" t="inlineStr">
        <is>
          <t>If the run-on work order has been deleted, no build action is offered; if lines were built before the deletion, the footer shows that outcome instead.</t>
        </is>
      </c>
      <c r="K11" s="7" t="inlineStr">
        <is>
          <t>6 Oct 2026</t>
        </is>
      </c>
      <c r="L11" s="7" t="inlineStr">
        <is>
          <t>6 Oct 2026: "Deleted work orders, removed inspections and splits"
Also: 7 Oct 2026: "Deleted work order after a build"</t>
        </is>
      </c>
      <c r="M11" s="7" t="inlineStr">
        <is>
          <t>The change log entry describes this change</t>
        </is>
      </c>
      <c r="N11" s="7" t="inlineStr"/>
      <c r="O11" s="7" t="inlineStr">
        <is>
          <t>Update the steps and expected results to match the new text. Vladimir: the automation for this case may check the old behaviour.</t>
        </is>
      </c>
      <c r="P11" s="6">
        <f>HYPERLINK("https://shopview.atlassian.net/wiki/pages/viewpage.action?pageId=768507905","Spec page")</f>
        <v/>
      </c>
    </row>
    <row r="12">
      <c r="A12" s="6">
        <f>HYPERLINK("https://shopview.testrail.io/index.php?/cases/view/88522","C88522")</f>
        <v/>
      </c>
      <c r="B12" s="7" t="inlineStr">
        <is>
          <t>Building lines when the work order is deleted, built twice, or reopened</t>
        </is>
      </c>
      <c r="C12" s="7" t="inlineStr">
        <is>
          <t>Yes</t>
        </is>
      </c>
      <c r="D12" s="7" t="inlineStr">
        <is>
          <t>Viktoria (case text) and Vladimir (automation)</t>
        </is>
      </c>
      <c r="E12" s="7" t="inlineStr">
        <is>
          <t>S3-E2</t>
        </is>
      </c>
      <c r="F12" s="7" t="inlineStr">
        <is>
          <t>If another user builds from the same inspection while this screen is open, the confirmation in S2-R13 is based on the current state rather than the state when the screen loaded</t>
        </is>
      </c>
      <c r="G12" s="7" t="inlineStr">
        <is>
          <t>If another user builds from the same inspection while this screen is open, the check in S2-R13 is based on the current state rather than the state when the screen loaded</t>
        </is>
      </c>
      <c r="H12" s="7" t="inlineStr">
        <is>
          <t>Wording: when another user builds while the screen is open, the built-once check (not a confirmation) is based on the current state rather than the state when the screen loaded.</t>
        </is>
      </c>
      <c r="I12" s="7" t="inlineStr">
        <is>
          <t>If another user builds from the same inspection while this screen is open, the re-build confirmation is based on the current state rather than the state when the screen loaded.</t>
        </is>
      </c>
      <c r="J12" s="7" t="inlineStr">
        <is>
          <t>If another user builds from the same inspection while this screen is open, the built-once check uses the current state: pressing Add Lines here adds nothing and the user is told where the lines went (no confirmation prompt).</t>
        </is>
      </c>
      <c r="K12" s="7" t="inlineStr">
        <is>
          <t>7 Oct 2026</t>
        </is>
      </c>
      <c r="L12" s="7" t="inlineStr">
        <is>
          <t>7 Oct 2026: "Leftovers from the built-once rule; file limit; submit name"</t>
        </is>
      </c>
      <c r="M12" s="7" t="inlineStr">
        <is>
          <t>The change log entry names this rule</t>
        </is>
      </c>
      <c r="N12" s="7" t="inlineStr"/>
      <c r="O12" s="7" t="inlineStr">
        <is>
          <t>Update the steps and expected results to match the new text. Vladimir: the automation for this case may check the old behaviour.</t>
        </is>
      </c>
      <c r="P12" s="6">
        <f>HYPERLINK("https://shopview.atlassian.net/wiki/pages/viewpage.action?pageId=768507905","Spec page")</f>
        <v/>
      </c>
    </row>
    <row r="13">
      <c r="A13" s="6">
        <f>HYPERLINK("https://shopview.testrail.io/index.php?/cases/view/88524","C88524")</f>
        <v/>
      </c>
      <c r="B13" s="7" t="inlineStr">
        <is>
          <t>Building again asks to confirm, based on the inspection as it is now</t>
        </is>
      </c>
      <c r="C13" s="7" t="inlineStr">
        <is>
          <t>No</t>
        </is>
      </c>
      <c r="D13" s="7" t="inlineStr">
        <is>
          <t>Viktoria (case text)</t>
        </is>
      </c>
      <c r="E13" s="7" t="inlineStr">
        <is>
          <t>S4-R3</t>
        </is>
      </c>
      <c r="F13" s="7" t="inlineStr">
        <is>
          <t>The confirmation in S2-R13 will be based on the inspection's current state rather than on the note. The note reflects the inspection as it was when it completed, so a build performed elsewhere afterwards would otherwise go unnoticed and the same findings could be built twice without warning</t>
        </is>
      </c>
      <c r="G13" s="7" t="inlineStr">
        <is>
          <t>(removed from the spec)</t>
        </is>
      </c>
      <c r="H13" s="7" t="inlineStr">
        <is>
          <t>Removed: the rule that the 'add a second set?' confirmation is based on the inspection's current state, because lines can now be built from an inspection only once.</t>
        </is>
      </c>
      <c r="I13" s="7" t="inlineStr">
        <is>
          <t>The re-build confirmation is based on the inspection's current state rather than on the note, so a build done elsewhere afterwards still triggers the warning.</t>
        </is>
      </c>
      <c r="J13" s="7" t="inlineStr">
        <is>
          <t>The note judges the inspection as it is now: once it has been built from elsewhere, the note offers no Build lines action and shows the outcome with a link to the work order that got the lines.</t>
        </is>
      </c>
      <c r="K13" s="7" t="inlineStr">
        <is>
          <t>29 Sep 2026</t>
        </is>
      </c>
      <c r="L13" s="7" t="inlineStr">
        <is>
          <t>29 Sep 2026: "QA contradiction pass answered"</t>
        </is>
      </c>
      <c r="M13" s="7" t="inlineStr">
        <is>
          <t>The change log entry describes this change</t>
        </is>
      </c>
      <c r="N13" s="7" t="inlineStr"/>
      <c r="O13" s="7" t="inlineStr">
        <is>
          <t>The spec no longer has this rule. Remove or rewrite the steps and expected results that check it.</t>
        </is>
      </c>
      <c r="P13" s="6">
        <f>HYPERLINK("https://shopview.atlassian.net/wiki/pages/viewpage.action?pageId=768507905","Spec page")</f>
        <v/>
      </c>
    </row>
    <row r="14">
      <c r="A14" s="6">
        <f>HYPERLINK("https://shopview.testrail.io/index.php?/cases/view/88524","C88524")</f>
        <v/>
      </c>
      <c r="B14" s="7" t="inlineStr">
        <is>
          <t>Building again asks to confirm, based on the inspection as it is now</t>
        </is>
      </c>
      <c r="C14" s="7" t="inlineStr">
        <is>
          <t>No</t>
        </is>
      </c>
      <c r="D14" s="7" t="inlineStr">
        <is>
          <t>Viktoria (case text)</t>
        </is>
      </c>
      <c r="E14" s="7" t="inlineStr">
        <is>
          <t>S4-E2</t>
        </is>
      </c>
      <c r="F14" s="7" t="inlineStr">
        <is>
          <t>If the inspection was already built from through another entry point, the user is asked to confirm</t>
        </is>
      </c>
      <c r="G14" s="7" t="inlineStr">
        <is>
          <t>(removed from the spec)</t>
        </is>
      </c>
      <c r="H14" s="7" t="inlineStr">
        <is>
          <t>Removed: building from the work order note after the inspection was already built from elsewhere no longer asks the user to confirm, because lines can now be built from an inspection only once.</t>
        </is>
      </c>
      <c r="I14" s="7" t="inlineStr">
        <is>
          <t>If the inspection was already built from through another entry point, the user is asked to confirm.</t>
        </is>
      </c>
      <c r="J14" s="7" t="inlineStr">
        <is>
          <t>If the inspection was already built from through another entry point, the note shows the outcome instead of Build lines; if the build elsewhere happened while this build was open, Add Lines adds nothing and says where the lines went.</t>
        </is>
      </c>
      <c r="K14" s="7" t="inlineStr">
        <is>
          <t>29 Sep 2026</t>
        </is>
      </c>
      <c r="L14" s="7" t="inlineStr">
        <is>
          <t>29 Sep 2026: "QA contradiction pass answered"</t>
        </is>
      </c>
      <c r="M14" s="7" t="inlineStr">
        <is>
          <t>The change log entry describes this change</t>
        </is>
      </c>
      <c r="N14" s="7" t="inlineStr"/>
      <c r="O14" s="7" t="inlineStr">
        <is>
          <t>The spec no longer has this rule. Remove or rewrite the steps and expected results that check it.</t>
        </is>
      </c>
      <c r="P14" s="6">
        <f>HYPERLINK("https://shopview.atlassian.net/wiki/pages/viewpage.action?pageId=768507905","Spec page")</f>
        <v/>
      </c>
    </row>
    <row r="15">
      <c r="A15" s="6">
        <f>HYPERLINK("https://shopview.testrail.io/index.php?/cases/view/88524","C88524")</f>
        <v/>
      </c>
      <c r="B15" s="7" t="inlineStr">
        <is>
          <t>Building again asks to confirm, based on the inspection as it is now</t>
        </is>
      </c>
      <c r="C15" s="7" t="inlineStr">
        <is>
          <t>No</t>
        </is>
      </c>
      <c r="D15" s="7" t="inlineStr">
        <is>
          <t>Viktoria (case text)</t>
        </is>
      </c>
      <c r="E15" s="7" t="inlineStr">
        <is>
          <t>S2-R13</t>
        </is>
      </c>
      <c r="F15" s="7" t="inlineStr">
        <is>
          <t>If lines have already been added from this inspection, the user will be asked to confirm before adding a second set. The check is made when Add Lines is pressed, on the state at that moment</t>
        </is>
      </c>
      <c r="G15" s="7" t="inlineStr">
        <is>
          <t>An inspection is built from once. After lines have been added from it, to this work order or to a new one, no entry point offers the build action again: the completed inspection, the work order note and the asset row show the outcome instead, with a link to the work order that got the lines. The check is made again when Add Lines is pressed; if the inspection was built from elsewhere in the meantime, nothing is added and the user is told where the lines went</t>
        </is>
      </c>
      <c r="H15" s="7" t="inlineStr">
        <is>
          <t>Lines can be built from an inspection only once: instead of asking to confirm a second set, every place shows the result with a link to the work order that got the lines, and a late second Add Lines adds nothing and tells the user where the lines went.</t>
        </is>
      </c>
      <c r="I15" s="7" t="inlineStr">
        <is>
          <t>Confirm the confirmation prompt is based on the inspection's current state rather than on the note's snapshot.</t>
        </is>
      </c>
      <c r="J15" s="7" t="inlineStr">
        <is>
          <t>Confirm the note shows the outcome with a link to the work order that got the lines, with no Build lines action and no confirmation prompt.</t>
        </is>
      </c>
      <c r="K15" s="7" t="inlineStr">
        <is>
          <t>29 Sep 2026</t>
        </is>
      </c>
      <c r="L15" s="7" t="inlineStr">
        <is>
          <t>29 Sep 2026: "QA contradiction pass answered"</t>
        </is>
      </c>
      <c r="M15" s="7" t="inlineStr">
        <is>
          <t>The change log entry names this rule</t>
        </is>
      </c>
      <c r="N15" s="7" t="inlineStr"/>
      <c r="O15" s="7" t="inlineStr">
        <is>
          <t>Update the steps and expected results to match the new text.</t>
        </is>
      </c>
      <c r="P15" s="6">
        <f>HYPERLINK("https://shopview.atlassian.net/wiki/pages/viewpage.action?pageId=768507905","Spec page")</f>
        <v/>
      </c>
    </row>
    <row r="16">
      <c r="A16" s="6">
        <f>HYPERLINK("https://shopview.testrail.io/index.php?/cases/view/88525","C88525")</f>
        <v/>
      </c>
      <c r="B16" s="7" t="inlineStr">
        <is>
          <t>The note's Build lines is hidden until the inspection is ready</t>
        </is>
      </c>
      <c r="C16" s="7" t="inlineStr">
        <is>
          <t>Yes</t>
        </is>
      </c>
      <c r="D16" s="7" t="inlineStr">
        <is>
          <t>Viktoria (case text) and Vladimir (automation)</t>
        </is>
      </c>
      <c r="E16" s="7" t="inlineStr">
        <is>
          <t>S4-N2</t>
        </is>
      </c>
      <c r="F16" s="7" t="inlineStr">
        <is>
          <t>If the inspection has been deleted, the note remains as a record but the action will not be shown</t>
        </is>
      </c>
      <c r="G16" s="7" t="inlineStr">
        <is>
          <t>If the inspection has been deleted, the note remains as a record but the action will not be shown. Removing an inspection from its line, or deleting the line, deletes the inspection on purpose: it leaves the asset's Inspections tab, and its note stays on the work order marked "Inspection deleted". This is different from deleting the whole work order (S5-E3)</t>
        </is>
      </c>
      <c r="H16" s="7" t="inlineStr">
        <is>
          <t>Adds that removing an inspection from its line, or deleting the line, deletes the inspection on purpose: it leaves the asset's Inspections tab and its note stays on the work order marked 'Inspection deleted'.</t>
        </is>
      </c>
      <c r="I16" s="7" t="inlineStr">
        <is>
          <t>If the inspection has been deleted, the note remains as a record but the action is not shown.</t>
        </is>
      </c>
      <c r="J16" s="7" t="inlineStr">
        <is>
          <t>Delete the inspection by removing it from its line (or deleting the line): the note stays on the work order marked 'Inspection deleted' with no Build lines action, and the inspection no longer appears on the asset's Inspections tab.</t>
        </is>
      </c>
      <c r="K16" s="7" t="inlineStr">
        <is>
          <t>6 Oct 2026</t>
        </is>
      </c>
      <c r="L16" s="7" t="inlineStr">
        <is>
          <t>6 Oct 2026: "Deleted work orders, removed inspections and splits"</t>
        </is>
      </c>
      <c r="M16" s="7" t="inlineStr">
        <is>
          <t>The change log entry names this rule</t>
        </is>
      </c>
      <c r="N16" s="7" t="inlineStr"/>
      <c r="O16" s="7" t="inlineStr">
        <is>
          <t>Update the steps and expected results to match the new text. Vladimir: the automation for this case may check the old behaviour.</t>
        </is>
      </c>
      <c r="P16" s="6">
        <f>HYPERLINK("https://shopview.atlassian.net/wiki/pages/viewpage.action?pageId=768507905","Spec page")</f>
        <v/>
      </c>
    </row>
    <row r="17">
      <c r="A17" s="6">
        <f>HYPERLINK("https://shopview.testrail.io/index.php?/cases/view/88528","C88528")</f>
        <v/>
      </c>
      <c r="B17" s="7" t="inlineStr">
        <is>
          <t>Inspections tab filters, summary line and needs-action counts</t>
        </is>
      </c>
      <c r="C17" s="7" t="inlineStr">
        <is>
          <t>Yes</t>
        </is>
      </c>
      <c r="D17" s="7" t="inlineStr">
        <is>
          <t>Viktoria (case text) and Vladimir (automation)</t>
        </is>
      </c>
      <c r="E17" s="7" t="inlineStr">
        <is>
          <t>S5-R10</t>
        </is>
      </c>
      <c r="F17" s="7" t="inlineStr">
        <is>
          <t>A filter row will offer All, Needs action, With issues and Not started, each with a count taken from the full list rather than from the filtered view</t>
        </is>
      </c>
      <c r="G17" s="7" t="inlineStr">
        <is>
          <t>The table has no filter row. The Inspection, Status and Completed columns can be sorted. By default the most recently completed inspection comes first (S5-R2)</t>
        </is>
      </c>
      <c r="H17" s="7" t="inlineStr">
        <is>
          <t>The asset's Inspections tab no longer has a filter row (All, Needs action, With issues, Not started); instead the Inspection, Status and Completed columns can be sorted, with the most recently completed inspection first by default.</t>
        </is>
      </c>
      <c r="I17" s="7" t="inlineStr">
        <is>
          <t>A filter row offers All, Needs action, With issues and Not started, each count taken from the full list rather than the filtered view.</t>
        </is>
      </c>
      <c r="J17" s="7" t="inlineStr">
        <is>
          <t>The tab has no filter row; the Inspection, Status and Completed columns can be sorted, and by default the most recently completed inspection comes first.</t>
        </is>
      </c>
      <c r="K17" s="7" t="inlineStr">
        <is>
          <t>5 Oct 2026</t>
        </is>
      </c>
      <c r="L17" s="7" t="inlineStr">
        <is>
          <t>5 Oct 2026: "Developer and QA questions answered"
Also: 29 Sep 2026: "QA contradiction pass answered"; 7 Oct 2026: "Filter leftovers removed"</t>
        </is>
      </c>
      <c r="M17" s="7" t="inlineStr">
        <is>
          <t>The change log entry describes this change</t>
        </is>
      </c>
      <c r="N17" s="7" t="inlineStr"/>
      <c r="O17" s="7" t="inlineStr">
        <is>
          <t>Update the steps and expected results to match the new text. Vladimir: the automation for this case may check the old behaviour.</t>
        </is>
      </c>
      <c r="P17" s="6">
        <f>HYPERLINK("https://shopview.atlassian.net/wiki/pages/viewpage.action?pageId=768507905","Spec page")</f>
        <v/>
      </c>
    </row>
    <row r="18">
      <c r="A18" s="6">
        <f>HYPERLINK("https://shopview.testrail.io/index.php?/cases/view/88528","C88528")</f>
        <v/>
      </c>
      <c r="B18" s="7" t="inlineStr">
        <is>
          <t>Inspections tab filters, summary line and needs-action counts</t>
        </is>
      </c>
      <c r="C18" s="7" t="inlineStr">
        <is>
          <t>Yes</t>
        </is>
      </c>
      <c r="D18" s="7" t="inlineStr">
        <is>
          <t>Viktoria (case text) and Vladimir (automation)</t>
        </is>
      </c>
      <c r="E18" s="7" t="inlineStr">
        <is>
          <t>S5-R11</t>
        </is>
      </c>
      <c r="F18" s="7" t="inlineStr">
        <is>
          <t>A summary will read "N of M need a work order"</t>
        </is>
      </c>
      <c r="G18" s="7" t="inlineStr">
        <is>
          <t>A summary will read "N of M have findings with no lines yet"</t>
        </is>
      </c>
      <c r="H18" s="7" t="inlineStr">
        <is>
          <t>The summary line now reads 'N of M have findings with no lines yet' instead of 'N of M need a work order'.</t>
        </is>
      </c>
      <c r="I18" s="7" t="inlineStr">
        <is>
          <t>A summary reads "N of M need a work order".</t>
        </is>
      </c>
      <c r="J18" s="7" t="inlineStr">
        <is>
          <t>The summary reads "N of M have findings with no lines yet".</t>
        </is>
      </c>
      <c r="K18" s="7" t="inlineStr">
        <is>
          <t>between 29 Sep 2026 and 2 Oct 2026</t>
        </is>
      </c>
      <c r="L18" s="7" t="inlineStr"/>
      <c r="M18" s="7" t="inlineStr">
        <is>
          <t>Not named in the change log; Jira SV-10792 (2 Oct 2026) already quotes the new text</t>
        </is>
      </c>
      <c r="N18" s="7" t="inlineStr"/>
      <c r="O18" s="7" t="inlineStr">
        <is>
          <t>Update the steps and expected results to match the new text. Vladimir: the automation for this case may check the old behaviour.</t>
        </is>
      </c>
      <c r="P18" s="6">
        <f>HYPERLINK("https://shopview.atlassian.net/wiki/pages/viewpage.action?pageId=768507905","Spec page")</f>
        <v/>
      </c>
    </row>
    <row r="19">
      <c r="A19" s="6">
        <f>HYPERLINK("https://shopview.testrail.io/index.php?/cases/view/88528","C88528")</f>
        <v/>
      </c>
      <c r="B19" s="7" t="inlineStr">
        <is>
          <t>Inspections tab filters, summary line and needs-action counts</t>
        </is>
      </c>
      <c r="C19" s="7" t="inlineStr">
        <is>
          <t>Yes</t>
        </is>
      </c>
      <c r="D19" s="7" t="inlineStr">
        <is>
          <t>Viktoria (case text) and Vladimir (automation)</t>
        </is>
      </c>
      <c r="E19" s="7" t="inlineStr">
        <is>
          <t>S5-R12</t>
        </is>
      </c>
      <c r="F19" s="7" t="inlineStr">
        <is>
          <t>An inspection needs action when it was completed after this release, has at least one Monitor or Not OK finding, and has not been built from. An inspection completed before the release is never flagged, because the data cannot tell one somebody already handled by hand from one nobody actioned. Those stay reachable through the With issues filter</t>
        </is>
      </c>
      <c r="G19" s="7" t="inlineStr">
        <is>
          <t>An inspection needs action when it was completed after this release, has at least one Monitor or Not OK finding, and has not been built from. An inspection completed before the release is never flagged, because the data cannot tell one somebody already handled by hand from one nobody actioned. Those stay listed on the tab, with their issues shown</t>
        </is>
      </c>
      <c r="H19" s="7" t="inlineStr">
        <is>
          <t>Inspections completed before the release now stay listed on the tab with their issues shown, instead of being reachable through the With issues filter.</t>
        </is>
      </c>
      <c r="I19" s="7" t="inlineStr">
        <is>
          <t>An inspection needs action when it was completed after this release, has at least one Monitor or Not OK finding, and has not been built from; a pre-release inspection is never flagged but stays reachable under With issues.</t>
        </is>
      </c>
      <c r="J19" s="7" t="inlineStr">
        <is>
          <t>An inspection needs action when it was completed after this release, has at least one Monitor or Not OK finding, and has not been built from; a pre-release inspection is never flagged but stays listed on the tab with its issues shown.</t>
        </is>
      </c>
      <c r="K19" s="7" t="inlineStr">
        <is>
          <t>7 Oct 2026</t>
        </is>
      </c>
      <c r="L19" s="7" t="inlineStr">
        <is>
          <t>7 Oct 2026: "Filter leftovers removed"</t>
        </is>
      </c>
      <c r="M19" s="7" t="inlineStr">
        <is>
          <t>The change log entry describes this change</t>
        </is>
      </c>
      <c r="N19" s="7" t="inlineStr"/>
      <c r="O19" s="7" t="inlineStr">
        <is>
          <t>Update the steps and expected results to match the new text. Vladimir: the automation for this case may check the old behaviour.</t>
        </is>
      </c>
      <c r="P19" s="6">
        <f>HYPERLINK("https://shopview.atlassian.net/wiki/pages/viewpage.action?pageId=768507905","Spec page")</f>
        <v/>
      </c>
    </row>
    <row r="20">
      <c r="A20" s="6">
        <f>HYPERLINK("https://shopview.testrail.io/index.php?/cases/view/88529","C88529")</f>
        <v/>
      </c>
      <c r="B20" s="7" t="inlineStr">
        <is>
          <t>Inspections tab links and buttons, phone use, and the inspection's asset</t>
        </is>
      </c>
      <c r="C20" s="7" t="inlineStr">
        <is>
          <t>Yes</t>
        </is>
      </c>
      <c r="D20" s="7" t="inlineStr">
        <is>
          <t>Viktoria (case text) and Vladimir (automation)</t>
        </is>
      </c>
      <c r="E20" s="7" t="inlineStr">
        <is>
          <t>S5-R16</t>
        </is>
      </c>
      <c r="F20" s="7" t="inlineStr">
        <is>
          <t>The filter row will wrap on a phone rather than scrolling out of view, and will keep its counts</t>
        </is>
      </c>
      <c r="G20" s="7" t="inlineStr">
        <is>
          <t>(removed from the spec)</t>
        </is>
      </c>
      <c r="H20" s="7" t="inlineStr">
        <is>
          <t>Removed: the phone rule that the filter row on the asset's Inspections tab wraps and keeps its counts, because the tab no longer has a filter row.</t>
        </is>
      </c>
      <c r="I20" s="7" t="inlineStr">
        <is>
          <t>The filter row wraps on a phone rather than scrolling out of view, and keeps its counts.</t>
        </is>
      </c>
      <c r="J20" s="7" t="inlineStr">
        <is>
          <t>Remove the filter-row check; on a phone, check only that every column's information stays reachable and the page does not scroll sideways.</t>
        </is>
      </c>
      <c r="K20" s="7" t="inlineStr">
        <is>
          <t>29 Sep 2026</t>
        </is>
      </c>
      <c r="L20" s="7" t="inlineStr">
        <is>
          <t>29 Sep 2026: "QA contradiction pass answered"
Also: 7 Oct 2026: "Filter leftovers removed"</t>
        </is>
      </c>
      <c r="M20" s="7" t="inlineStr">
        <is>
          <t>The change log entry describes this change</t>
        </is>
      </c>
      <c r="N20" s="7" t="inlineStr"/>
      <c r="O20" s="7" t="inlineStr">
        <is>
          <t>The spec no longer has this rule. Remove or rewrite the steps and expected results that check it. Vladimir: the automation for this case may check the old behaviour.</t>
        </is>
      </c>
      <c r="P20" s="6">
        <f>HYPERLINK("https://shopview.atlassian.net/wiki/pages/viewpage.action?pageId=768507905","Spec page")</f>
        <v/>
      </c>
    </row>
    <row r="21">
      <c r="A21" s="6">
        <f>HYPERLINK("https://shopview.testrail.io/index.php?/cases/view/88529","C88529")</f>
        <v/>
      </c>
      <c r="B21" s="7" t="inlineStr">
        <is>
          <t>Inspections tab links and buttons, phone use, and the inspection's asset</t>
        </is>
      </c>
      <c r="C21" s="7" t="inlineStr">
        <is>
          <t>Yes</t>
        </is>
      </c>
      <c r="D21" s="7" t="inlineStr">
        <is>
          <t>Viktoria (case text) and Vladimir (automation)</t>
        </is>
      </c>
      <c r="E21" s="7" t="inlineStr">
        <is>
          <t>S5-R21</t>
        </is>
      </c>
      <c r="F21" s="7" t="inlineStr">
        <is>
          <t>An inspection records the asset it was run on, stored on the inspection when it is created rather than derived through its work order. A work order carries exactly one asset and that asset can be changed later, so this tab is a record of what was inspected rather than a view that follows a later correction. Inspections that exist before this release are backfilled from their work order’s asset at migration, without which this tab cannot show history</t>
        </is>
      </c>
      <c r="G21" s="7" t="inlineStr">
        <is>
          <t>The tab lists the inspections whose work order is on this asset now, so it follows the work order when the work order's asset is changed or two assets are merged. The asset an inspection was run on is also stored on the inspection when it is created, as a record. Inspections that exist before this release are backfilled from their work order's asset at migration. When the work order has been deleted, the stored asset is used (S5-E3). Merging assets moves such inspections to the surviving asset, as it moves the work orders</t>
        </is>
      </c>
      <c r="H21" s="7" t="inlineStr">
        <is>
          <t>The asset's Inspections tab now lists the inspections whose work order is on this asset now, so it follows the work order when its asset is changed or assets are merged; the asset stored on the inspection is kept as a record and used when the work order has been deleted, and merging assets moves such inspections to the surviving asset.</t>
        </is>
      </c>
      <c r="I21" s="7" t="inlineStr">
        <is>
          <t>An inspection records the asset it was run on, stored on the inspection at creation rather than derived through its work order, and pre-release inspections are backfilled from their work order's asset at migration.</t>
        </is>
      </c>
      <c r="J21" s="7" t="inlineStr">
        <is>
          <t>Change a work order's asset (or merge two assets) and check its inspections move with it to the new or surviving asset; pre-release inspections are backfilled from their work order's asset; when the work order has been deleted the inspection stays on the stored asset (Jira SV-10960, later than the spec, says the asset the work order had when it was deleted).</t>
        </is>
      </c>
      <c r="K21" s="7" t="inlineStr">
        <is>
          <t>5 Oct 2026</t>
        </is>
      </c>
      <c r="L21" s="7" t="inlineStr">
        <is>
          <t>5 Oct 2026: "Developer and QA questions answered"
Also: 7 Oct 2026: "Deleted work order: outcome, footer, reopened, merge (SV-10965)"</t>
        </is>
      </c>
      <c r="M21" s="7" t="inlineStr">
        <is>
          <t>The change log entry describes this change</t>
        </is>
      </c>
      <c r="N21" s="6">
        <f>HYPERLINK("https://shopview.atlassian.net/browse/SV-10965","SV-10965")</f>
        <v/>
      </c>
      <c r="O21" s="7" t="inlineStr">
        <is>
          <t>Update the steps and expected results to match the new text. Vladimir: the automation for this case may check the old behaviour.</t>
        </is>
      </c>
      <c r="P21" s="6">
        <f>HYPERLINK("https://shopview.atlassian.net/wiki/pages/viewpage.action?pageId=768507905","Spec page")</f>
        <v/>
      </c>
    </row>
    <row r="22">
      <c r="A22" s="6">
        <f>HYPERLINK("https://shopview.testrail.io/index.php?/cases/view/88530","C88530")</f>
        <v/>
      </c>
      <c r="B22" s="7" t="inlineStr">
        <is>
          <t>How findings are counted, once per axle</t>
        </is>
      </c>
      <c r="C22" s="7" t="inlineStr">
        <is>
          <t>No</t>
        </is>
      </c>
      <c r="D22" s="7" t="inlineStr">
        <is>
          <t>Viktoria (case text)</t>
        </is>
      </c>
      <c r="E22" s="7" t="inlineStr">
        <is>
          <t>S5-R17</t>
        </is>
      </c>
      <c r="F22" s="7" t="inlineStr">
        <is>
          <t>A response contributes one count to exactly one of Pass, Monitor or Needs attention when the field is visible, the field is a checkbox or a measurement, and the response is Pass, Monitor or Not OK</t>
        </is>
      </c>
      <c r="G22" s="7" t="inlineStr">
        <is>
          <t>A response contributes one count to exactly one of Pass, Monitor or Needs attention when the field is a checkbox or a measurement and the response is Pass, Monitor or Not OK</t>
        </is>
      </c>
      <c r="H22" s="7" t="inlineStr">
        <is>
          <t>The counting rule no longer says the field must be visible: a checkbox or measurement answer of Pass, Monitor or Not OK counts once.</t>
        </is>
      </c>
      <c r="I22" s="7" t="inlineStr">
        <is>
          <t>Confirm a response counts once toward Pass, Monitor or Needs attention only when the field is visible, is a checkbox or measurement, and the response is Pass/Monitor/Not OK.</t>
        </is>
      </c>
      <c r="J22" s="7" t="inlineStr">
        <is>
          <t>A checkbox or measurement response of Pass, Monitor or Not OK counts once toward exactly one of Pass, Monitor or Needs attention; remove the 'field is visible' condition and the hidden-field check (or ask the PO whether hidden fields still exist).</t>
        </is>
      </c>
      <c r="K22" s="7" t="inlineStr">
        <is>
          <t>between 29 Sep 2026 and 13 Oct 2026</t>
        </is>
      </c>
      <c r="L22" s="7" t="inlineStr"/>
      <c r="M22" s="7" t="inlineStr">
        <is>
          <t>Not named in the change log; changed between 29 Sep and 13 Oct</t>
        </is>
      </c>
      <c r="N22" s="7" t="inlineStr"/>
      <c r="O22" s="7" t="inlineStr">
        <is>
          <t>Update the steps and expected results to match the new text.</t>
        </is>
      </c>
      <c r="P22" s="6">
        <f>HYPERLINK("https://shopview.atlassian.net/wiki/pages/viewpage.action?pageId=768507905","Spec page")</f>
        <v/>
      </c>
    </row>
    <row r="23">
      <c r="A23" s="6">
        <f>HYPERLINK("https://shopview.testrail.io/index.php?/cases/view/88532","C88532")</f>
        <v/>
      </c>
      <c r="B23" s="7" t="inlineStr">
        <is>
          <t>Inspections tab with not-started, all N/A, deleted, moved and many inspections</t>
        </is>
      </c>
      <c r="C23" s="7" t="inlineStr">
        <is>
          <t>Yes</t>
        </is>
      </c>
      <c r="D23" s="7" t="inlineStr">
        <is>
          <t>Viktoria (case text) and Vladimir (automation)</t>
        </is>
      </c>
      <c r="E23" s="7" t="inlineStr">
        <is>
          <t>S5-E3</t>
        </is>
      </c>
      <c r="F23" s="7" t="inlineStr">
        <is>
          <t>If the work order the inspection was run on has been deleted, the inspection remains listed, the work order column shows a dash rather than a broken link, and the row remains usable. This requires an inspection to outlive its work order rather than being removed with it</t>
        </is>
      </c>
      <c r="G23" s="7" t="inlineStr">
        <is>
          <t>If the work order the inspection was run on is deleted, an inspection that has a report stays on the asset's Inspections tab as a read-only record, with a dash in the Work order column. The Action column shows the outcome only while the work order it points to exists, for example 'WO created S-200' when the lines went onto another work order; when they went onto the deleted work order itself, it shows a dash. It can be opened and its latest report downloaded. It cannot be built from, reopened or regenerated. A reopened inspection survives as its latest report: Status reads Completed, Completed shows the date of that report, and opening the row opens that report rather than the answers, which may have changed since. Deleting a work order must not delete such an inspection, its photos or its report. An inspection with no report, including one that was submitted but whose report was never generated, is deleted with its work order</t>
        </is>
      </c>
      <c r="H23" s="7" t="inlineStr">
        <is>
          <t>When the work order is deleted, only an inspection with a report stays on the tab, read-only, with a dash for the work order; the Action column shows the result only while the work order it points to exists; it can be opened and its latest report downloaded but not built from, reopened or regenerated; a reopened one shows as Completed on its latest report's date and opens that report; an inspection with no report is deleted with the work order.</t>
        </is>
      </c>
      <c r="I23" s="7" t="inlineStr">
        <is>
          <t>If the run-on work order has been deleted, the inspection stays listed, the work order column shows a dash rather than a broken link, and the row stays usable.</t>
        </is>
      </c>
      <c r="J23" s="7" t="inlineStr">
        <is>
          <t>If the run-on work order is deleted, an inspection with a report stays on the tab as a read-only record with a dash in the Work order column; the Action column shows the outcome only while the work order it points to exists (for example 'WO created S-200'), otherwise a dash; it can be opened and its latest report downloaded but not built from, reopened or regenerated; a reopened one shows Completed with its latest report's date and opens that report; an inspection with no report is deleted with the work order.</t>
        </is>
      </c>
      <c r="K23" s="7" t="inlineStr">
        <is>
          <t>6 Oct 2026</t>
        </is>
      </c>
      <c r="L23" s="7" t="inlineStr">
        <is>
          <t>6 Oct 2026: "Deleted work orders, removed inspections and splits"
Also: 7 Oct 2026: "Deleted work order after a build"; 7 Oct 2026: "Deleted work order: outcome, footer, reopened, merge (SV-10965)"</t>
        </is>
      </c>
      <c r="M23" s="7" t="inlineStr">
        <is>
          <t>The change log entry describes this change</t>
        </is>
      </c>
      <c r="N23" s="6">
        <f>HYPERLINK("https://shopview.atlassian.net/browse/SV-10965","SV-10965")</f>
        <v/>
      </c>
      <c r="O23" s="7" t="inlineStr">
        <is>
          <t>Update the steps and expected results to match the new text. Vladimir: the automation for this case may check the old behaviour.</t>
        </is>
      </c>
      <c r="P23" s="6">
        <f>HYPERLINK("https://shopview.atlassian.net/wiki/pages/viewpage.action?pageId=768507905","Spec page")</f>
        <v/>
      </c>
    </row>
    <row r="24">
      <c r="A24" s="6">
        <f>HYPERLINK("https://shopview.testrail.io/index.php?/cases/view/88533","C88533")</f>
        <v/>
      </c>
      <c r="B24" s="7" t="inlineStr">
        <is>
          <t>Build lines from a needs-action row, with the same work order choice</t>
        </is>
      </c>
      <c r="C24" s="7" t="inlineStr">
        <is>
          <t>Yes</t>
        </is>
      </c>
      <c r="D24" s="7" t="inlineStr">
        <is>
          <t>Viktoria (case text) and Vladimir (automation)</t>
        </is>
      </c>
      <c r="E24" s="7" t="inlineStr">
        <is>
          <t>S2-R15</t>
        </is>
      </c>
      <c r="F24" s="7" t="inlineStr">
        <is>
          <t>A destination that cannot take lines will keep its place in the menu and say why. A destination that silently stops being offered reads as a fault</t>
        </is>
      </c>
      <c r="G24" s="7" t="inlineStr">
        <is>
          <t>(removed from the spec)</t>
        </is>
      </c>
      <c r="H24" s="7" t="inlineStr">
        <is>
          <t>Removed: a destination that cannot take lines no longer stays in the menu with a reason; it is simply not shown.</t>
        </is>
      </c>
      <c r="I24" s="7" t="inlineStr">
        <is>
          <t>The run-on work order is offered as a target only while it is an eligible build target (judged by its status on the row); when it is not, the target keeps its place and says why.</t>
        </is>
      </c>
      <c r="J24" s="7" t="inlineStr">
        <is>
          <t>When the run-on work order is not eligible, it is not listed in the menu; the menu still opens and offers only a new work order.</t>
        </is>
      </c>
      <c r="K24" s="7" t="inlineStr">
        <is>
          <t>29 Sep 2026</t>
        </is>
      </c>
      <c r="L24" s="7" t="inlineStr">
        <is>
          <t>29 Sep 2026: "QA contradiction pass answered"</t>
        </is>
      </c>
      <c r="M24" s="7" t="inlineStr">
        <is>
          <t>The change log entry describes this change</t>
        </is>
      </c>
      <c r="N24" s="7" t="inlineStr"/>
      <c r="O24" s="7" t="inlineStr">
        <is>
          <t>The spec no longer has this rule. Remove or rewrite the steps and expected results that check it. Vladimir: the automation for this case may check the old behaviour.</t>
        </is>
      </c>
      <c r="P24" s="6">
        <f>HYPERLINK("https://shopview.atlassian.net/wiki/pages/viewpage.action?pageId=768507905","Spec page")</f>
        <v/>
      </c>
    </row>
    <row r="25">
      <c r="A25" s="6">
        <f>HYPERLINK("https://shopview.testrail.io/index.php?/cases/view/88533","C88533")</f>
        <v/>
      </c>
      <c r="B25" s="7" t="inlineStr">
        <is>
          <t>Build lines from a needs-action row, with the same work order choice</t>
        </is>
      </c>
      <c r="C25" s="7" t="inlineStr">
        <is>
          <t>Yes</t>
        </is>
      </c>
      <c r="D25" s="7" t="inlineStr">
        <is>
          <t>Viktoria (case text) and Vladimir (automation)</t>
        </is>
      </c>
      <c r="E25" s="7" t="inlineStr">
        <is>
          <t>S2-R5</t>
        </is>
      </c>
      <c r="F25" s="7" t="inlineStr">
        <is>
          <t>When the work order the inspection was run on is not an eligible build target, the system will create a new work order without asking. It is ineligible when its status is Complete, Invoiced, Paid or Declined, or when an invoice already exists. Declined counts as ineligible because lines added to a refused order would revive work the customer turned down</t>
        </is>
      </c>
      <c r="G25" s="7" t="inlineStr">
        <is>
          <t>When the work order the inspection was run on is not an eligible build target, the destination menu still opens and offers only a new work order. It is ineligible when its status is Complete, Invoiced, Paid or Declined, or when an invoice already exists. Declined counts as ineligible because lines added to a refused order would revive work the customer turned down</t>
        </is>
      </c>
      <c r="H25" s="7" t="inlineStr">
        <is>
          <t>When the inspection's own work order cannot take lines, the destination menu still opens and offers only a new work order, instead of a new work order being created without asking.</t>
        </is>
      </c>
      <c r="I25" s="7" t="inlineStr">
        <is>
          <t>The run-on work order is offered as a target only while it is an eligible build target (judged by its status on the row); when it is not, the target keeps its place and says why.</t>
        </is>
      </c>
      <c r="J25" s="7" t="inlineStr">
        <is>
          <t>When the run-on work order is not eligible (for example Complete), the destination menu still opens and offers only a new work order.</t>
        </is>
      </c>
      <c r="K25" s="7" t="inlineStr">
        <is>
          <t>29 Sep 2026</t>
        </is>
      </c>
      <c r="L25" s="7" t="inlineStr">
        <is>
          <t>29 Sep 2026: "QA contradiction pass answered"</t>
        </is>
      </c>
      <c r="M25" s="7" t="inlineStr">
        <is>
          <t>The change log entry describes this change</t>
        </is>
      </c>
      <c r="N25" s="7" t="inlineStr"/>
      <c r="O25" s="7" t="inlineStr">
        <is>
          <t>Update the steps and expected results to match the new text. Vladimir: the automation for this case may check the old behaviour.</t>
        </is>
      </c>
      <c r="P25" s="6">
        <f>HYPERLINK("https://shopview.atlassian.net/wiki/pages/viewpage.action?pageId=768507905","Spec page")</f>
        <v/>
      </c>
    </row>
    <row r="26">
      <c r="A26" s="6">
        <f>HYPERLINK("https://shopview.testrail.io/index.php?/cases/view/88533","C88533")</f>
        <v/>
      </c>
      <c r="B26" s="7" t="inlineStr">
        <is>
          <t>Build lines from a needs-action row, with the same work order choice</t>
        </is>
      </c>
      <c r="C26" s="7" t="inlineStr">
        <is>
          <t>Yes</t>
        </is>
      </c>
      <c r="D26" s="7" t="inlineStr">
        <is>
          <t>Viktoria (case text) and Vladimir (automation)</t>
        </is>
      </c>
      <c r="E26" s="7" t="inlineStr">
        <is>
          <t>S6-R4</t>
        </is>
      </c>
      <c r="F26" s="7" t="inlineStr">
        <is>
          <t>The inspection's own work order is offered as a target only while it is an eligible build target, judged by its status on the row. When it is not, the target keeps its place and says why (S2-R15)</t>
        </is>
      </c>
      <c r="G26" s="7" t="inlineStr">
        <is>
          <t>The inspection's own work order is offered as a target only while it is an eligible build target, judged by its status on the row. When it is not, it is not offered (S2-R5)</t>
        </is>
      </c>
      <c r="H26" s="7" t="inlineStr">
        <is>
          <t>When the inspection's own work order cannot take lines, it is now left out of the menu instead of staying there with a reason.</t>
        </is>
      </c>
      <c r="I26" s="7" t="inlineStr">
        <is>
          <t>The run-on work order is offered as a target only while it is an eligible build target (judged by its status on the row); when it is not, the target keeps its place and says why.</t>
        </is>
      </c>
      <c r="J26" s="7" t="inlineStr">
        <is>
          <t>The run-on work order is offered only while it is eligible (judged by its status on the row); when it is not, it is not offered.</t>
        </is>
      </c>
      <c r="K26" s="7" t="inlineStr">
        <is>
          <t>29 Sep 2026</t>
        </is>
      </c>
      <c r="L26" s="7" t="inlineStr">
        <is>
          <t>29 Sep 2026: "QA contradiction pass answered"</t>
        </is>
      </c>
      <c r="M26" s="7" t="inlineStr">
        <is>
          <t>The change log entry describes this change</t>
        </is>
      </c>
      <c r="N26" s="7" t="inlineStr"/>
      <c r="O26" s="7" t="inlineStr">
        <is>
          <t>Update the steps and expected results to match the new text. Vladimir: the automation for this case may check the old behaviour.</t>
        </is>
      </c>
      <c r="P26" s="6">
        <f>HYPERLINK("https://shopview.atlassian.net/wiki/pages/viewpage.action?pageId=768507905","Spec page")</f>
        <v/>
      </c>
    </row>
    <row r="27">
      <c r="A27" s="6">
        <f>HYPERLINK("https://shopview.testrail.io/index.php?/cases/view/88534","C88534")</f>
        <v/>
      </c>
      <c r="B27" s="7" t="inlineStr">
        <is>
          <t>After building, the row shows the result and the counts update</t>
        </is>
      </c>
      <c r="C27" s="7" t="inlineStr">
        <is>
          <t>No</t>
        </is>
      </c>
      <c r="D27" s="7" t="inlineStr">
        <is>
          <t>Viktoria (case text)</t>
        </is>
      </c>
      <c r="E27" s="7" t="inlineStr">
        <is>
          <t>S6-R7</t>
        </is>
      </c>
      <c r="F27" s="7" t="inlineStr">
        <is>
          <t>After a successful build, the row will leave the Needs action filter and the counts and summary will update with it</t>
        </is>
      </c>
      <c r="G27" s="7" t="inlineStr">
        <is>
          <t>After a successful build, the row will show its outcome instead of the action, and the counts and the summary line will update with it</t>
        </is>
      </c>
      <c r="H27" s="7" t="inlineStr">
        <is>
          <t>After a build, the row now shows its result in place of the build action (instead of leaving the Needs action filter), and the counts and the summary line update.</t>
        </is>
      </c>
      <c r="I27" s="7" t="inlineStr">
        <is>
          <t>After a successful build, the row leaves the Needs action filter and the counts and summary update with it.</t>
        </is>
      </c>
      <c r="J27" s="7" t="inlineStr">
        <is>
          <t>After a successful build, the row shows its outcome in place of the build action, and the counts and the summary line update with it.</t>
        </is>
      </c>
      <c r="K27" s="7" t="inlineStr">
        <is>
          <t>7 Oct 2026</t>
        </is>
      </c>
      <c r="L27" s="7" t="inlineStr">
        <is>
          <t>7 Oct 2026: "Filter leftovers removed"</t>
        </is>
      </c>
      <c r="M27" s="7" t="inlineStr">
        <is>
          <t>The change log entry describes this change</t>
        </is>
      </c>
      <c r="N27" s="7" t="inlineStr"/>
      <c r="O27" s="7" t="inlineStr">
        <is>
          <t>Update the steps and expected results to match the new text.</t>
        </is>
      </c>
      <c r="P27" s="6">
        <f>HYPERLINK("https://shopview.atlassian.net/wiki/pages/viewpage.action?pageId=768507905","Spec page")</f>
        <v/>
      </c>
    </row>
    <row r="28">
      <c r="A28" s="6">
        <f>HYPERLINK("https://shopview.testrail.io/index.php?/cases/view/88536","C88536")</f>
        <v/>
      </c>
      <c r="B28" s="7" t="inlineStr">
        <is>
          <t>Row build with a deleted work order, per row, or a row you can't start</t>
        </is>
      </c>
      <c r="C28" s="7" t="inlineStr">
        <is>
          <t>Yes</t>
        </is>
      </c>
      <c r="D28" s="7" t="inlineStr">
        <is>
          <t>Viktoria (case text) and Vladimir (automation)</t>
        </is>
      </c>
      <c r="E28" s="7" t="inlineStr">
        <is>
          <t>S6-E1</t>
        </is>
      </c>
      <c r="F28" s="7" t="inlineStr">
        <is>
          <t>If the work order the inspection was run on has been deleted, only the new-work-order target is offered</t>
        </is>
      </c>
      <c r="G28" s="7" t="inlineStr">
        <is>
          <t>If the work order the inspection was run on has been deleted, the row offers no build action and its action cell shows a dash, or the outcome if it was built from before the deletion (S5-E3)</t>
        </is>
      </c>
      <c r="H28" s="7" t="inlineStr">
        <is>
          <t>When the inspection's work order has been deleted, the row offers no build action and shows a dash, or the result if it was built from before the deletion (before, only the new work order target was offered).</t>
        </is>
      </c>
      <c r="I28" s="7" t="inlineStr">
        <is>
          <t>If the run-on work order has been deleted, only the new-work-order target is offered.</t>
        </is>
      </c>
      <c r="J28" s="7" t="inlineStr">
        <is>
          <t>If the run-on work order has been deleted, the row offers no build action; its action cell shows a dash, or the outcome if it was built from before the deletion.</t>
        </is>
      </c>
      <c r="K28" s="7" t="inlineStr">
        <is>
          <t>6 Oct 2026</t>
        </is>
      </c>
      <c r="L28" s="7" t="inlineStr">
        <is>
          <t>6 Oct 2026: "Deleted work orders, removed inspections and splits"
Also: 7 Oct 2026: "Deleted work order after a build"</t>
        </is>
      </c>
      <c r="M28" s="7" t="inlineStr">
        <is>
          <t>The change log entry describes this change</t>
        </is>
      </c>
      <c r="N28" s="7" t="inlineStr"/>
      <c r="O28" s="7" t="inlineStr">
        <is>
          <t>Update the steps and expected results to match the new text. Vladimir: the automation for this case may check the old behaviour.</t>
        </is>
      </c>
      <c r="P28" s="6">
        <f>HYPERLINK("https://shopview.atlassian.net/wiki/pages/viewpage.action?pageId=768507905","Spec page")</f>
        <v/>
      </c>
    </row>
    <row r="29">
      <c r="A29" s="6">
        <f>HYPERLINK("https://shopview.testrail.io/index.php?/cases/view/88536","C88536")</f>
        <v/>
      </c>
      <c r="B29" s="7" t="inlineStr">
        <is>
          <t>Row build with a deleted work order, per row, or a row you can't start</t>
        </is>
      </c>
      <c r="C29" s="7" t="inlineStr">
        <is>
          <t>Yes</t>
        </is>
      </c>
      <c r="D29" s="7" t="inlineStr">
        <is>
          <t>Viktoria (case text) and Vladimir (automation)</t>
        </is>
      </c>
      <c r="E29" s="7" t="inlineStr">
        <is>
          <t>S6-E3</t>
        </is>
      </c>
      <c r="F29" s="7" t="inlineStr">
        <is>
          <t>A user who can fill inspections but cannot create work orders, looking at a row whose work order is closed, has no available action. The row will show a dash with an explanation that creating a work order requires 'Work Orders — Create &amp; Edit'. The explanation must be readable on a phone, where there is no hover</t>
        </is>
      </c>
      <c r="G29" s="7" t="inlineStr">
        <is>
          <t>A user who can fill inspections but cannot create work orders, looking at a row whose work order is closed, has no available action. The row shows a dash</t>
        </is>
      </c>
      <c r="H29" s="7" t="inlineStr">
        <is>
          <t>For a user who can fill inspections but cannot create work orders, a row whose work order is closed now just shows a dash; the explanation about the 'Work Orders — Create &amp; Edit' permission (readable on a phone) is dropped.</t>
        </is>
      </c>
      <c r="I29" s="7" t="inlineStr">
        <is>
          <t>A user who can fill inspections but cannot create work orders, on a row whose work order is closed, sees a dash with an explanation that creating a work order requires 'Work orders - Create &amp; Edit', readable on a phone.</t>
        </is>
      </c>
      <c r="J29" s="7" t="inlineStr">
        <is>
          <t>A user who can fill inspections but cannot create work orders, on a row whose work order is closed, sees a dash and no build action (no permission explanation is required).</t>
        </is>
      </c>
      <c r="K29" s="7" t="inlineStr">
        <is>
          <t>between 29 Sep 2026 and 13 Oct 2026</t>
        </is>
      </c>
      <c r="L29" s="7" t="inlineStr"/>
      <c r="M29" s="7" t="inlineStr">
        <is>
          <t>Not named in the change log; changed between 29 Sep and 13 Oct</t>
        </is>
      </c>
      <c r="N29" s="7" t="inlineStr"/>
      <c r="O29" s="7" t="inlineStr">
        <is>
          <t>Update the steps and expected results to match the new text. Vladimir: the automation for this case may check the old behaviour.</t>
        </is>
      </c>
      <c r="P29" s="6">
        <f>HYPERLINK("https://shopview.atlassian.net/wiki/pages/viewpage.action?pageId=768507905","Spec page")</f>
        <v/>
      </c>
    </row>
    <row r="30">
      <c r="A30" s="6">
        <f>HYPERLINK("https://shopview.testrail.io/index.php?/cases/view/88537","C88537")</f>
        <v/>
      </c>
      <c r="B30" s="7" t="inlineStr">
        <is>
          <t>A work order note says its lines were built from an inspection</t>
        </is>
      </c>
      <c r="C30" s="7" t="inlineStr">
        <is>
          <t>Yes</t>
        </is>
      </c>
      <c r="D30" s="7" t="inlineStr">
        <is>
          <t>Viktoria (case text) and Vladimir (automation)</t>
        </is>
      </c>
      <c r="E30" s="7" t="inlineStr">
        <is>
          <t>S7-R2</t>
        </is>
      </c>
      <c r="F30" s="7" t="inlineStr">
        <is>
          <t>When the lines went onto a new work order, the note will link back to the work order the inspection was run on</t>
        </is>
      </c>
      <c r="G30" s="7" t="inlineStr">
        <is>
          <t>When the lines went onto a new work order, the note will link back to the work order the inspection was run on. If that work order was deleted after the build, the note shows its number as text, tagged 'Work order deleted', with no link</t>
        </is>
      </c>
      <c r="H30" s="7" t="inlineStr">
        <is>
          <t>Adds that if the original work order was deleted after the build, the note shows its number as plain text tagged 'Work order deleted', with no link.</t>
        </is>
      </c>
      <c r="I30" s="7" t="inlineStr">
        <is>
          <t>When the lines went onto a new work order, the note links back to the work order the inspection was run on.</t>
        </is>
      </c>
      <c r="J30" s="7" t="inlineStr">
        <is>
          <t>Add: delete the run-on work order after a build onto a new work order, and check the note shows that work order's number as plain text tagged 'Work order deleted', with no link.</t>
        </is>
      </c>
      <c r="K30" s="7" t="inlineStr">
        <is>
          <t>7 Oct 2026</t>
        </is>
      </c>
      <c r="L30" s="7" t="inlineStr">
        <is>
          <t>7 Oct 2026: "Deleted work order after a build"</t>
        </is>
      </c>
      <c r="M30" s="7" t="inlineStr">
        <is>
          <t>The change log entry describes this change</t>
        </is>
      </c>
      <c r="N30" s="7" t="inlineStr"/>
      <c r="O30" s="7" t="inlineStr">
        <is>
          <t>Update the steps and expected results to match the new text. Vladimir: the automation for this case may check the old behaviour.</t>
        </is>
      </c>
      <c r="P30" s="6">
        <f>HYPERLINK("https://shopview.atlassian.net/wiki/pages/viewpage.action?pageId=768507905","Spec page")</f>
        <v/>
      </c>
    </row>
    <row r="31">
      <c r="A31" s="6">
        <f>HYPERLINK("https://shopview.testrail.io/index.php?/cases/view/88538","C88538")</f>
        <v/>
      </c>
      <c r="B31" s="7" t="inlineStr">
        <is>
          <t>The Audit Log records each build, wherever it was started</t>
        </is>
      </c>
      <c r="C31" s="7" t="inlineStr">
        <is>
          <t>Yes</t>
        </is>
      </c>
      <c r="D31" s="7" t="inlineStr">
        <is>
          <t>Viktoria (case text) and Vladimir (automation)</t>
        </is>
      </c>
      <c r="E31" s="7" t="inlineStr">
        <is>
          <t>S7-R5</t>
        </is>
      </c>
      <c r="F31" s="7" t="inlineStr">
        <is>
          <t>The Audit Log entry will name the inspection, link to it, and name the work order the inspection was run on</t>
        </is>
      </c>
      <c r="G31" s="7" t="inlineStr">
        <is>
          <t>The Audit Log entry will name the inspection, link to it, and name the work order the inspection was run on. If that work order was deleted after the build, its number is shown as text, with no link</t>
        </is>
      </c>
      <c r="H31" s="7" t="inlineStr">
        <is>
          <t>Adds that if the original work order was deleted after the build, the Audit Log entry shows its number as plain text, with no link.</t>
        </is>
      </c>
      <c r="I31" s="7" t="inlineStr">
        <is>
          <t>The Audit Log entry names the inspection, links to it, and names the work order the inspection was run on.</t>
        </is>
      </c>
      <c r="J31" s="7" t="inlineStr">
        <is>
          <t>Add: delete the run-on work order after the build, and check the Audit Log entry shows its number as plain text with no link.</t>
        </is>
      </c>
      <c r="K31" s="7" t="inlineStr">
        <is>
          <t>7 Oct 2026</t>
        </is>
      </c>
      <c r="L31" s="7" t="inlineStr">
        <is>
          <t>7 Oct 2026: "Deleted work order after a build"</t>
        </is>
      </c>
      <c r="M31" s="7" t="inlineStr">
        <is>
          <t>The change log entry describes this change</t>
        </is>
      </c>
      <c r="N31" s="7" t="inlineStr"/>
      <c r="O31" s="7" t="inlineStr">
        <is>
          <t>Update the steps and expected results to match the new text. Vladimir: the automation for this case may check the old behaviour.</t>
        </is>
      </c>
      <c r="P31" s="6">
        <f>HYPERLINK("https://shopview.atlassian.net/wiki/pages/viewpage.action?pageId=768507905","Spec page")</f>
        <v/>
      </c>
    </row>
    <row r="32">
      <c r="A32" s="6">
        <f>HYPERLINK("https://shopview.testrail.io/index.php?/cases/view/88539","C88539")</f>
        <v/>
      </c>
      <c r="B32" s="7" t="inlineStr">
        <is>
          <t>The work order note and Audit Log match, including the line count</t>
        </is>
      </c>
      <c r="C32" s="7" t="inlineStr">
        <is>
          <t>Yes</t>
        </is>
      </c>
      <c r="D32" s="7" t="inlineStr">
        <is>
          <t>Viktoria (case text) and Vladimir (automation)</t>
        </is>
      </c>
      <c r="E32" s="7" t="inlineStr">
        <is>
          <t>S7-R8</t>
        </is>
      </c>
      <c r="F32" s="7" t="inlineStr">
        <is>
          <t>Both records will state how many lines were created, and the asset row will read "3 lines added" rather than "Lines added". The count is known when the record is written, and the scale of what was added is the first thing an advisor wants from it</t>
        </is>
      </c>
      <c r="G32" s="7" t="inlineStr">
        <is>
          <t>Both records will state how many lines were created. The count is known when the record is written, and the scale of what was added is the first thing an advisor wants from it</t>
        </is>
      </c>
      <c r="H32" s="7" t="inlineStr">
        <is>
          <t>The asset row no longer reads '3 lines added' instead of 'Lines added'; the note and the Audit Log entry still state how many lines were created.</t>
        </is>
      </c>
      <c r="I32" s="7" t="inlineStr">
        <is>
          <t>Both records state how many lines were created, and the asset row reads for example "3 lines added" rather than "Lines added".</t>
        </is>
      </c>
      <c r="J32" s="7" t="inlineStr">
        <is>
          <t>Both the note and the Audit Log entry state how many lines were created; remove the asset-row check (the asset row reads 'Lines added' or 'WO created', with no count).</t>
        </is>
      </c>
      <c r="K32" s="7" t="inlineStr">
        <is>
          <t>between 29 Sep 2026 and 13 Oct 2026</t>
        </is>
      </c>
      <c r="L32" s="7" t="inlineStr"/>
      <c r="M32" s="7" t="inlineStr">
        <is>
          <t>Not named in the change log; changed between 29 Sep and 13 Oct</t>
        </is>
      </c>
      <c r="N32" s="7" t="inlineStr"/>
      <c r="O32" s="7" t="inlineStr">
        <is>
          <t>Update the steps and expected results to match the new text. Vladimir: the automation for this case may check the old behaviour.</t>
        </is>
      </c>
      <c r="P32" s="6">
        <f>HYPERLINK("https://shopview.atlassian.net/wiki/pages/viewpage.action?pageId=768507905","Spec page")</f>
        <v/>
      </c>
    </row>
    <row r="33">
      <c r="A33" s="6">
        <f>HYPERLINK("https://shopview.testrail.io/index.php?/cases/view/88540","C88540")</f>
        <v/>
      </c>
      <c r="B33" s="7" t="inlineStr">
        <is>
          <t>Lines are kept if the note or Audit Log fails, deleted records handled</t>
        </is>
      </c>
      <c r="C33" s="7" t="inlineStr">
        <is>
          <t>Yes</t>
        </is>
      </c>
      <c r="D33" s="7" t="inlineStr">
        <is>
          <t>Viktoria (case text) and Vladimir (automation)</t>
        </is>
      </c>
      <c r="E33" s="7" t="inlineStr">
        <is>
          <t>S7-E4</t>
        </is>
      </c>
      <c r="F33" s="7" t="inlineStr">
        <is>
          <t>If the work order is later split, the note and the Audit Log entry stay on the original. The new work order carries no inspection provenance, because a split moves lines and does not copy records</t>
        </is>
      </c>
      <c r="G33" s="7" t="inlineStr">
        <is>
          <t>If the work order is later split, the note and the Audit Log entry stay on the original. The new work order carries no inspection provenance, because a split moves lines and does not copy records. The inspection's report notes are not records of the build: when a line with an inspection is split onto a new work order, those notes move with the line and are removed from the original. Work orders split before this rule keep their notes where they are</t>
        </is>
      </c>
      <c r="H33" s="7" t="inlineStr">
        <is>
          <t>Adds that when a line with an inspection is split onto a new work order, the inspection's report notes move with the line and are removed from the original; work orders split before this rule keep their notes where they are.</t>
        </is>
      </c>
      <c r="I33" s="7" t="inlineStr">
        <is>
          <t>If the work order is later split, the note and the Audit Log entry stay on the original, and the new work order carries no inspection provenance.</t>
        </is>
      </c>
      <c r="J33" s="7" t="inlineStr">
        <is>
          <t>If the work order is later split, the 'built from inspection' note and Audit Log entry stay on the original; when a line with an inspection is split onto the new work order, that inspection's report notes move with the line and are removed from the original (work orders split before this change keep their notes where they are).</t>
        </is>
      </c>
      <c r="K33" s="7" t="inlineStr">
        <is>
          <t>6 Oct 2026</t>
        </is>
      </c>
      <c r="L33" s="7" t="inlineStr">
        <is>
          <t>6 Oct 2026: "Deleted work orders, removed inspections and splits"</t>
        </is>
      </c>
      <c r="M33" s="7" t="inlineStr">
        <is>
          <t>The change log entry names this rule</t>
        </is>
      </c>
      <c r="N33" s="6">
        <f>HYPERLINK("https://shopview.atlassian.net/browse/SV-10913","SV-10913")</f>
        <v/>
      </c>
      <c r="O33" s="7" t="inlineStr">
        <is>
          <t>Update the steps and expected results to match the new text. Vladimir: the automation for this case may check the old behaviour.</t>
        </is>
      </c>
      <c r="P33" s="6">
        <f>HYPERLINK("https://shopview.atlassian.net/wiki/pages/viewpage.action?pageId=768507905","Spec page")</f>
        <v/>
      </c>
    </row>
    <row r="34">
      <c r="A34" s="6">
        <f>HYPERLINK("https://shopview.testrail.io/index.php?/cases/view/88542","C88542")</f>
        <v/>
      </c>
      <c r="B34" s="7" t="inlineStr">
        <is>
          <t>ShopCoach drafts lines with no typing, and its instructions are kept</t>
        </is>
      </c>
      <c r="C34" s="7" t="inlineStr">
        <is>
          <t>Yes</t>
        </is>
      </c>
      <c r="D34" s="7" t="inlineStr">
        <is>
          <t>Viktoria (case text) and Vladimir (automation)</t>
        </is>
      </c>
      <c r="E34" s="7" t="inlineStr">
        <is>
          <t>S15-R6</t>
        </is>
      </c>
      <c r="F34" s="7" t="inlineStr">
        <is>
          <t>ShopCoach will be named once, at the step where the destination is chosen, and nowhere else in the flow</t>
        </is>
      </c>
      <c r="G34" s="7" t="inlineStr">
        <is>
          <t>ShopCoach is named in the note on the completed inspection card (S3-R6) and in the Line Builder panel's existing title. The build action and the destination menu do not name it</t>
        </is>
      </c>
      <c r="H34" s="7" t="inlineStr">
        <is>
          <t>ShopCoach is now named in the note on the completed inspection card and in the Line Builder panel's title, and not on the build action or the destination menu (before, it was named once, where the destination is chosen).</t>
        </is>
      </c>
      <c r="I34" s="7" t="inlineStr">
        <is>
          <t>ShopCoach is named once, at the step where the destination is chosen, and nowhere else in the flow.</t>
        </is>
      </c>
      <c r="J34" s="7" t="inlineStr">
        <is>
          <t>ShopCoach is named in the note on the completed inspection card and in the Line Builder panel's title; the build action and the destination menu do not name it.</t>
        </is>
      </c>
      <c r="K34" s="7" t="inlineStr">
        <is>
          <t>between 29 Sep 2026 and 13 Oct 2026</t>
        </is>
      </c>
      <c r="L34" s="7" t="inlineStr"/>
      <c r="M34" s="7" t="inlineStr">
        <is>
          <t>Not named in the change log; changed between 29 Sep and 13 Oct</t>
        </is>
      </c>
      <c r="N34" s="7" t="inlineStr"/>
      <c r="O34" s="7" t="inlineStr">
        <is>
          <t>Update the steps and expected results to match the new text. Vladimir: the automation for this case may check the old behaviour.</t>
        </is>
      </c>
      <c r="P34" s="6">
        <f>HYPERLINK("https://shopview.atlassian.net/wiki/pages/viewpage.action?pageId=768507905","Spec page")</f>
        <v/>
      </c>
    </row>
    <row r="35">
      <c r="A35" s="6">
        <f>HYPERLINK("https://shopview.testrail.io/index.php?/cases/view/88548","C88548")</f>
        <v/>
      </c>
      <c r="B35" s="7" t="inlineStr">
        <is>
          <t>ShopCoach with no results, failures, leaving the page and several axles</t>
        </is>
      </c>
      <c r="C35" s="7" t="inlineStr">
        <is>
          <t>Yes</t>
        </is>
      </c>
      <c r="D35" s="7" t="inlineStr">
        <is>
          <t>Viktoria (case text) and Vladimir (automation)</t>
        </is>
      </c>
      <c r="E35" s="7" t="inlineStr">
        <is>
          <t>S15-E2</t>
        </is>
      </c>
      <c r="F35" s="7" t="inlineStr">
        <is>
          <t>If the call to ShopCoach fails, the user is told that it failed. An empty panel is not an acceptable outcome, because there is no non-AI path to fall back to</t>
        </is>
      </c>
      <c r="G35" s="7" t="inlineStr">
        <is>
          <t>If the call to ShopCoach fails, the user is told that it failed and can try again. An empty panel is not an acceptable outcome, because there is no non-AI path to fall back to. No empty lines are created</t>
        </is>
      </c>
      <c r="H35" s="7" t="inlineStr">
        <is>
          <t>When ShopCoach drafting fails, the user is told it failed and can now try again, and no empty lines are created.</t>
        </is>
      </c>
      <c r="I35" s="7" t="inlineStr">
        <is>
          <t>If the call to ShopCoach fails, the user is told that it failed, and is never left with an empty panel.</t>
        </is>
      </c>
      <c r="J35" s="7" t="inlineStr">
        <is>
          <t>If the call to ShopCoach fails, the user is told that it failed and can try again, is never left with an empty panel, and no empty lines are created.</t>
        </is>
      </c>
      <c r="K35" s="7" t="inlineStr">
        <is>
          <t>13 Oct 2026</t>
        </is>
      </c>
      <c r="L35" s="7" t="inlineStr">
        <is>
          <t>13 Oct 2026: "Link to the proposed ShopCoach brief"
Also: 29 Sep 2026: "QA contradiction pass answered"</t>
        </is>
      </c>
      <c r="M35" s="7" t="inlineStr">
        <is>
          <t>The change log entry names this rule</t>
        </is>
      </c>
      <c r="N35" s="7" t="inlineStr"/>
      <c r="O35" s="7" t="inlineStr">
        <is>
          <t>Update the steps and expected results to match the new text. Vladimir: the automation for this case may check the old behaviour.</t>
        </is>
      </c>
      <c r="P35" s="6">
        <f>HYPERLINK("https://shopview.atlassian.net/wiki/pages/viewpage.action?pageId=768507905","Spec page")</f>
        <v/>
      </c>
    </row>
    <row r="36">
      <c r="A36" s="6">
        <f>HYPERLINK("https://shopview.testrail.io/index.php?/cases/view/88548","C88548")</f>
        <v/>
      </c>
      <c r="B36" s="7" t="inlineStr">
        <is>
          <t>ShopCoach with no results, failures, leaving the page and several axles</t>
        </is>
      </c>
      <c r="C36" s="7" t="inlineStr">
        <is>
          <t>Yes</t>
        </is>
      </c>
      <c r="D36" s="7" t="inlineStr">
        <is>
          <t>Viktoria (case text) and Vladimir (automation)</t>
        </is>
      </c>
      <c r="E36" s="7" t="inlineStr">
        <is>
          <t>S15-E5</t>
        </is>
      </c>
      <c r="F36" s="7" t="inlineStr">
        <is>
          <t>If the same field is flagged on several axles, each flagged position reaches ShopCoach with its own axle and row so they are not collapsed into one line by accident</t>
        </is>
      </c>
      <c r="G36" s="7" t="inlineStr">
        <is>
          <t>If the same field is flagged on several axles, each flagged row reaches ShopCoach as its own finding, with its axle, its row and its flagged positions, so they are not collapsed into one line by accident</t>
        </is>
      </c>
      <c r="H36" s="7" t="inlineStr">
        <is>
          <t>When the same field is flagged on several axles, each flagged row (not each flagged position) goes to ShopCoach as its own finding, with its axle, its row and its flagged positions.</t>
        </is>
      </c>
      <c r="I36" s="7" t="inlineStr">
        <is>
          <t>If the same field is flagged on several axles, each flagged position reaches ShopCoach with its own axle and row so they are not collapsed into one line.</t>
        </is>
      </c>
      <c r="J36" s="7" t="inlineStr">
        <is>
          <t>If the same field is flagged on several axles, each flagged row reaches ShopCoach as its own finding, with its axle, its row and its flagged positions, so rows on different axles are not merged into one line.</t>
        </is>
      </c>
      <c r="K36" s="7" t="inlineStr">
        <is>
          <t>29 Sep 2026</t>
        </is>
      </c>
      <c r="L36" s="7" t="inlineStr">
        <is>
          <t>29 Sep 2026: "QA contradiction pass answered"</t>
        </is>
      </c>
      <c r="M36" s="7" t="inlineStr">
        <is>
          <t>The change log entry describes this change</t>
        </is>
      </c>
      <c r="N36" s="7" t="inlineStr"/>
      <c r="O36" s="7" t="inlineStr">
        <is>
          <t>Update the steps and expected results to match the new text. Vladimir: the automation for this case may check the old behaviour.</t>
        </is>
      </c>
      <c r="P36" s="6">
        <f>HYPERLINK("https://shopview.atlassian.net/wiki/pages/viewpage.action?pageId=768507905","Spec page")</f>
        <v/>
      </c>
    </row>
    <row r="37">
      <c r="A37" s="6">
        <f>HYPERLINK("https://shopview.testrail.io/index.php?/cases/view/88571","C88571")</f>
        <v/>
      </c>
      <c r="B37" s="7" t="inlineStr">
        <is>
          <t>Deleting the last section or the selected field, long names, live preview</t>
        </is>
      </c>
      <c r="C37" s="7" t="inlineStr">
        <is>
          <t>No</t>
        </is>
      </c>
      <c r="D37" s="7" t="inlineStr">
        <is>
          <t>Viktoria (case text)</t>
        </is>
      </c>
      <c r="E37" s="7" t="inlineStr">
        <is>
          <t>S12-E1</t>
        </is>
      </c>
      <c r="F37" s="7" t="inlineStr">
        <is>
          <t>If the last section is deleted, the canvas still offers a way to add one back</t>
        </is>
      </c>
      <c r="G37" s="7" t="inlineStr">
        <is>
          <t>If the last section is deleted, the canvas still offers a way to add one back. Starting points are not offered again</t>
        </is>
      </c>
      <c r="H37" s="7" t="inlineStr">
        <is>
          <t>Adds that after the last section is deleted, the starting points are not offered again.</t>
        </is>
      </c>
      <c r="I37" s="7" t="inlineStr">
        <is>
          <t>If the last section is deleted, the canvas still offers a way to add one back.</t>
        </is>
      </c>
      <c r="J37" s="7" t="inlineStr">
        <is>
          <t>If the last section is deleted, the canvas still offers a way to add one back, and the starting points are not offered again.</t>
        </is>
      </c>
      <c r="K37" s="7" t="inlineStr">
        <is>
          <t>between 29 Sep 2026 and 13 Oct 2026</t>
        </is>
      </c>
      <c r="L37" s="7" t="inlineStr"/>
      <c r="M37" s="7" t="inlineStr">
        <is>
          <t>Not named in the change log; changed between 29 Sep and 13 Oct</t>
        </is>
      </c>
      <c r="N37" s="7" t="inlineStr"/>
      <c r="O37" s="7" t="inlineStr">
        <is>
          <t>Update the steps and expected results to match the new text.</t>
        </is>
      </c>
      <c r="P37" s="6">
        <f>HYPERLINK("https://shopview.atlassian.net/wiki/pages/viewpage.action?pageId=768507905","Spec page")</f>
        <v/>
      </c>
    </row>
    <row r="38">
      <c r="A38" s="6">
        <f>HYPERLINK("https://shopview.testrail.io/index.php?/cases/view/88572","C88572")</f>
        <v/>
      </c>
      <c r="B38" s="7" t="inlineStr">
        <is>
          <t>What the customer report says, and what it no longer shows</t>
        </is>
      </c>
      <c r="C38" s="7" t="inlineStr">
        <is>
          <t>Yes</t>
        </is>
      </c>
      <c r="D38" s="7" t="inlineStr">
        <is>
          <t>Viktoria (case text) and Vladimir (automation)</t>
        </is>
      </c>
      <c r="E38" s="7" t="inlineStr">
        <is>
          <t>S13-R0</t>
        </is>
      </c>
      <c r="F38" s="7" t="inlineStr">
        <is>
          <t>A per-axle field will print each row's values per position, with a status column carrying the row's derived verdict</t>
        </is>
      </c>
      <c r="G38" s="7" t="inlineStr">
        <is>
          <t>A per-axle field will print one block per axle, never split across a page: each row's values per position, and the axle's result in the axle header. The sub-tables are headed by scope, 'OUTER + INNER' and '1 PER SIDE'. A flagged value carries the icon of its summary tile, a triangle for Needs attention and a clock for Monitor, as well as its colour, so the report reads in black and white. A position nobody measured prints a grey dash. There is no per-row status column</t>
        </is>
      </c>
      <c r="H38" s="7" t="inlineStr">
        <is>
          <t>The report now prints one block per axle, never split across a page, with the axle's result in the axle header, sub-tables headed 'OUTER + INNER' and '1 PER SIDE', a triangle or clock icon beside flagged values as well as colour, a grey dash for unmeasured positions, and no per-row status column.</t>
        </is>
      </c>
      <c r="I38" s="7" t="inlineStr">
        <is>
          <t>A per-axle field prints each row's values per position, with a status column carrying the row's derived verdict.</t>
        </is>
      </c>
      <c r="J38" s="7" t="inlineStr">
        <is>
          <t>A per-axle field prints one block per axle, never split across a page, with each row's values per position and the axle's result in the axle header; sub-tables are headed 'OUTER + INNER' and '1 PER SIDE'; a flagged value shows a triangle (Needs attention) or clock (Monitor) icon as well as its colour; an unmeasured position prints a grey dash; there is no per-row status column.</t>
        </is>
      </c>
      <c r="K38" s="7" t="inlineStr">
        <is>
          <t>5 Oct 2026</t>
        </is>
      </c>
      <c r="L38" s="7" t="inlineStr">
        <is>
          <t>5 Oct 2026: "Developer and QA questions answered"</t>
        </is>
      </c>
      <c r="M38" s="7" t="inlineStr">
        <is>
          <t>The change log entry names this rule</t>
        </is>
      </c>
      <c r="N38" s="7" t="inlineStr"/>
      <c r="O38" s="7" t="inlineStr">
        <is>
          <t>Update the steps and expected results to match the new text. Vladimir: the automation for this case may check the old behaviour.</t>
        </is>
      </c>
      <c r="P38" s="6">
        <f>HYPERLINK("https://shopview.atlassian.net/wiki/pages/viewpage.action?pageId=768507905","Spec page")</f>
        <v/>
      </c>
    </row>
    <row r="39">
      <c r="A39" s="6">
        <f>HYPERLINK("https://shopview.testrail.io/index.php?/cases/view/88578","C88578")</f>
        <v/>
      </c>
      <c r="B39" s="7" t="inlineStr">
        <is>
          <t>On a phone: reference files, outstanding work and the back button</t>
        </is>
      </c>
      <c r="C39" s="7" t="inlineStr">
        <is>
          <t>No</t>
        </is>
      </c>
      <c r="D39" s="7" t="inlineStr">
        <is>
          <t>Viktoria (case text)</t>
        </is>
      </c>
      <c r="E39" s="7" t="inlineStr">
        <is>
          <t>S14-R6</t>
        </is>
      </c>
      <c r="F39" s="7" t="inlineStr">
        <is>
          <t>Outstanding required work will be surfaced on the action that completes the section, carrying a count, rather than as a separate banner competing with the fields</t>
        </is>
      </c>
      <c r="G39" s="7" t="inlineStr">
        <is>
          <t>Outstanding required work will be surfaced on the action that completes the section, carrying a count, rather than as a separate banner competing with the fields. Nothing blocks finishing a section: missing answers, notes, photos and acknowledgements only raise the count. Everything outstanding is collected at submit</t>
        </is>
      </c>
      <c r="H39" s="7" t="inlineStr">
        <is>
          <t>Adds that nothing blocks finishing a section: missing answers, notes, photos and acknowledgements only raise the count, and everything outstanding is collected at submit.</t>
        </is>
      </c>
      <c r="I39" s="7" t="inlineStr">
        <is>
          <t>Outstanding required work is surfaced on the action that completes the section, carrying a count, rather than as a separate banner competing with the fields.</t>
        </is>
      </c>
      <c r="J39" s="7" t="inlineStr">
        <is>
          <t>Outstanding required work shows as a count on the action that completes the section; leaving answers, notes or photos missing does not stop the technician finishing the section, it only raises the count, and everything outstanding is collected at submit.</t>
        </is>
      </c>
      <c r="K39" s="7" t="inlineStr">
        <is>
          <t>between 29 Sep 2026 and 13 Oct 2026</t>
        </is>
      </c>
      <c r="L39" s="7" t="inlineStr"/>
      <c r="M39" s="7" t="inlineStr">
        <is>
          <t>Not named in the change log; changed between 29 Sep and 13 Oct</t>
        </is>
      </c>
      <c r="N39" s="7" t="inlineStr"/>
      <c r="O39" s="7" t="inlineStr">
        <is>
          <t>Update the steps and expected results to match the new text.</t>
        </is>
      </c>
      <c r="P39" s="6">
        <f>HYPERLINK("https://shopview.atlassian.net/wiki/pages/viewpage.action?pageId=768507905","Spec page")</f>
        <v/>
      </c>
    </row>
    <row r="40">
      <c r="A40" s="6">
        <f>HYPERLINK("https://shopview.testrail.io/index.php?/cases/view/88578","C88578")</f>
        <v/>
      </c>
      <c r="B40" s="7" t="inlineStr">
        <is>
          <t>On a phone: reference files, outstanding work and the back button</t>
        </is>
      </c>
      <c r="C40" s="7" t="inlineStr">
        <is>
          <t>No</t>
        </is>
      </c>
      <c r="D40" s="7" t="inlineStr">
        <is>
          <t>Viktoria (case text)</t>
        </is>
      </c>
      <c r="E40" s="7" t="inlineStr">
        <is>
          <t>S14-R7</t>
        </is>
      </c>
      <c r="F40" s="7" t="inlineStr">
        <is>
          <t>Selecting an outstanding item will move to the first field that still needs an answer, rather than to a summary of what is missing</t>
        </is>
      </c>
      <c r="G40" s="7" t="inlineStr">
        <is>
          <t>Selecting an outstanding item will move to that field. A 'Go to the first one' action moves to the first item in the list</t>
        </is>
      </c>
      <c r="H40" s="7" t="inlineStr">
        <is>
          <t>Selecting an outstanding item now goes to that item's field, and a 'Go to the first one' action goes to the first item in the list (before, selecting went to the first field still needing an answer).</t>
        </is>
      </c>
      <c r="I40" s="7" t="inlineStr">
        <is>
          <t>Selecting an outstanding item moves to the first field that still needs an answer, rather than to a summary of what is missing.</t>
        </is>
      </c>
      <c r="J40" s="7" t="inlineStr">
        <is>
          <t>Selecting an outstanding item moves to that item's field; a 'Go to the first one' action moves to the first item in the list.</t>
        </is>
      </c>
      <c r="K40" s="7" t="inlineStr">
        <is>
          <t>between 29 Sep 2026 and 13 Oct 2026</t>
        </is>
      </c>
      <c r="L40" s="7" t="inlineStr"/>
      <c r="M40" s="7" t="inlineStr">
        <is>
          <t>Not named in the change log; changed between 29 Sep and 13 Oct</t>
        </is>
      </c>
      <c r="N40" s="7" t="inlineStr"/>
      <c r="O40" s="7" t="inlineStr">
        <is>
          <t>Update the steps and expected results to match the new text.</t>
        </is>
      </c>
      <c r="P40" s="6">
        <f>HYPERLINK("https://shopview.atlassian.net/wiki/pages/viewpage.action?pageId=768507905","Spec page")</f>
        <v/>
      </c>
    </row>
    <row r="41">
      <c r="A41" s="6">
        <f>HYPERLINK("https://shopview.testrail.io/index.php?/cases/view/88523","C88523")</f>
        <v/>
      </c>
      <c r="B41" s="7" t="inlineStr">
        <is>
          <t>Build lines from the report note, on a phone and on an ineligible work order</t>
        </is>
      </c>
      <c r="C41" s="7" t="inlineStr">
        <is>
          <t>Yes</t>
        </is>
      </c>
      <c r="D41" s="7" t="inlineStr">
        <is>
          <t>Viktoria (case text) and Vladimir (automation)</t>
        </is>
      </c>
      <c r="E41" s="7" t="inlineStr">
        <is>
          <t>S2-R5</t>
        </is>
      </c>
      <c r="F41" s="7" t="inlineStr">
        <is>
          <t>When the work order the inspection was run on is not an eligible build target, the system will create a new work order without asking. It is ineligible when its status is Complete, Invoiced, Paid or Declined, or when an invoice already exists. Declined counts as ineligible because lines added to a refused order would revive work the customer turned down</t>
        </is>
      </c>
      <c r="G41" s="7" t="inlineStr">
        <is>
          <t>When the work order the inspection was run on is not an eligible build target, the destination menu still opens and offers only a new work order. It is ineligible when its status is Complete, Invoiced, Paid or Declined, or when an invoice already exists. Declined counts as ineligible because lines added to a refused order would revive work the customer turned down</t>
        </is>
      </c>
      <c r="H41" s="7" t="inlineStr">
        <is>
          <t>When the inspection's own work order cannot take lines, the destination menu still opens and offers only a new work order, instead of a new work order being created without asking.</t>
        </is>
      </c>
      <c r="I41" s="7" t="inlineStr">
        <is>
          <t>If the work order is not an eligible build target, the build creates a new work order and the note stays where it is.</t>
        </is>
      </c>
      <c r="J41" s="7" t="inlineStr">
        <is>
          <t>If the work order is not an eligible build target (Complete, Invoiced, Paid or Declined, or already invoiced), pressing Build lines on the note opens the destination menu offering only a new work order; choosing it builds onto a new work order and the note stays where it is.</t>
        </is>
      </c>
      <c r="K41" s="7" t="inlineStr">
        <is>
          <t>29 Sep 2026</t>
        </is>
      </c>
      <c r="L41" s="7" t="inlineStr">
        <is>
          <t>29 Sep 2026: "QA contradiction pass answered"</t>
        </is>
      </c>
      <c r="M41" s="7" t="inlineStr">
        <is>
          <t>The change log entry describes this change</t>
        </is>
      </c>
      <c r="N41" s="7" t="inlineStr"/>
      <c r="O41" s="7" t="inlineStr">
        <is>
          <t>Update the steps and expected results to match the new text. Vladimir: the automation for this case may check the old behaviour.</t>
        </is>
      </c>
      <c r="P41" s="6">
        <f>HYPERLINK("https://shopview.atlassian.net/wiki/pages/viewpage.action?pageId=768507905","Spec page")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12" customWidth="1" min="3" max="3"/>
    <col width="12" customWidth="1" min="4" max="4"/>
    <col width="26" customWidth="1" min="5" max="5"/>
    <col width="60" customWidth="1" min="6" max="6"/>
    <col width="50" customWidth="1" min="7" max="7"/>
    <col width="40" customWidth="1" min="8" max="8"/>
  </cols>
  <sheetData>
    <row r="1">
      <c r="A1" s="5" t="inlineStr">
        <is>
          <t>Case</t>
        </is>
      </c>
      <c r="B1" s="5" t="inlineStr">
        <is>
          <t>Case title</t>
        </is>
      </c>
      <c r="C1" s="5" t="inlineStr">
        <is>
          <t>Automated?</t>
        </is>
      </c>
      <c r="D1" s="5" t="inlineStr">
        <is>
          <t>Ticket</t>
        </is>
      </c>
      <c r="E1" s="5" t="inlineStr">
        <is>
          <t>Who decided, and when</t>
        </is>
      </c>
      <c r="F1" s="5" t="inlineStr">
        <is>
          <t>The decision</t>
        </is>
      </c>
      <c r="G1" s="5" t="inlineStr">
        <is>
          <t>What the spec still says</t>
        </is>
      </c>
      <c r="H1" s="5" t="inlineStr">
        <is>
          <t>What to do</t>
        </is>
      </c>
    </row>
    <row r="2">
      <c r="A2" s="6">
        <f>HYPERLINK("https://shopview.testrail.io/index.php?/cases/view/88575","C88575")</f>
        <v/>
      </c>
      <c r="B2" s="7" t="inlineStr">
        <is>
          <t>The customer report stays correct when regenerated or republished</t>
        </is>
      </c>
      <c r="C2" s="7" t="inlineStr">
        <is>
          <t>No</t>
        </is>
      </c>
      <c r="D2" s="6">
        <f>HYPERLINK("https://shopview.atlassian.net/browse/SV-10960","SV-10960")</f>
        <v/>
      </c>
      <c r="E2" s="7" t="inlineStr">
        <is>
          <t>Milos Vasic (product), 8 Oct 2026</t>
        </is>
      </c>
      <c r="F2" s="7" t="inlineStr">
        <is>
          <t>When a work order is deleted, the inspection that survives moves to the asset the work order has at that moment. Changing or merging an asset never regenerates existing reports; a manual regenerate uses the work order's current asset.</t>
        </is>
      </c>
      <c r="G2" s="7" t="inlineStr">
        <is>
          <t>The tab lists the inspections whose work order is on this asset now, so it follows the work order when the work order's asset is changed or two assets are merged. The asset an inspection was run on is also stored on the inspection when it is created, as a record. Inspections that exist before this release are backfilled from their work order's asset at migration. When the work order has been deleted, the stored asset is used (S5-E3). Merging assets moves such inspections to the surviving asset, as it moves the work orders</t>
        </is>
      </c>
      <c r="H2" s="7" t="inlineStr">
        <is>
          <t>The decision is later than the spec, so the latest decision wins. Add it to the case.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24" customWidth="1" min="3" max="3"/>
    <col width="16" customWidth="1" min="4" max="4"/>
    <col width="40" customWidth="1" min="5" max="5"/>
  </cols>
  <sheetData>
    <row r="1">
      <c r="A1" s="5" t="inlineStr">
        <is>
          <t>Spec rule or ticket</t>
        </is>
      </c>
      <c r="B1" s="5" t="inlineStr">
        <is>
          <t>What it says</t>
        </is>
      </c>
      <c r="C1" s="5" t="inlineStr">
        <is>
          <t>When it was added or decided</t>
        </is>
      </c>
      <c r="D1" s="5" t="inlineStr">
        <is>
          <t>Source</t>
        </is>
      </c>
      <c r="E1" s="5" t="inlineStr">
        <is>
          <t>What to do</t>
        </is>
      </c>
    </row>
    <row r="2">
      <c r="A2" s="7" t="inlineStr">
        <is>
          <t>S13-R14</t>
        </is>
      </c>
      <c r="B2" s="7" t="inlineStr">
        <is>
          <t>The inspected date is the date the inspection was first completed. Regenerating a report does not move it; reopening the inspection and completing it again gives it a new date, which is how a newer version is told apart</t>
        </is>
      </c>
      <c r="C2" s="7" t="inlineStr">
        <is>
          <t>5 Oct 2026 (5 Oct 2026: "Developer and QA questions answered")</t>
        </is>
      </c>
      <c r="D2" s="6">
        <f>HYPERLINK("https://shopview.atlassian.net/wiki/pages/viewpage.action?pageId=768507905","Spec page")</f>
        <v/>
      </c>
      <c r="E2" s="7" t="inlineStr">
        <is>
          <t>New rule with no case. Add a case if it should be tested.</t>
        </is>
      </c>
    </row>
    <row r="3">
      <c r="A3" s="7" t="inlineStr">
        <is>
          <t>S13-R15</t>
        </is>
      </c>
      <c r="B3" s="7" t="inlineStr">
        <is>
          <t>Regenerating a report does not post another note on the work order. The existing note keeps pointing at the most recent version (S13-R12)</t>
        </is>
      </c>
      <c r="C3" s="7" t="inlineStr">
        <is>
          <t>5 Oct 2026 (5 Oct 2026: "Developer and QA questions answered")</t>
        </is>
      </c>
      <c r="D3" s="6">
        <f>HYPERLINK("https://shopview.atlassian.net/wiki/pages/viewpage.action?pageId=768507905","Spec page")</f>
        <v/>
      </c>
      <c r="E3" s="7" t="inlineStr">
        <is>
          <t>New rule with no case. Add a case if it should be tested.</t>
        </is>
      </c>
    </row>
    <row r="4">
      <c r="A4" s="7" t="inlineStr">
        <is>
          <t>S15-E7</t>
        </is>
      </c>
      <c r="B4" s="7" t="inlineStr">
        <is>
          <t>When the target is a new work order, it is created as soon as it is chosen (S2-R11). If the drafting is cancelled, fails, returns nothing, or the user leaves, that work order stays, empty. Nothing is deleted automatically. The inspection stays Needs action, no provenance note is written, and a retry runs on the same work order</t>
        </is>
      </c>
      <c r="C4" s="7" t="inlineStr">
        <is>
          <t>between 29 Sep 2026 and 2 Oct 2026</t>
        </is>
      </c>
      <c r="D4" s="6">
        <f>HYPERLINK("https://shopview.atlassian.net/wiki/pages/viewpage.action?pageId=768507905","Spec page")</f>
        <v/>
      </c>
      <c r="E4" s="7" t="inlineStr">
        <is>
          <t>New rule with no case. Add a case if it should be tested.</t>
        </is>
      </c>
    </row>
    <row r="5">
      <c r="A5" s="7" t="inlineStr">
        <is>
          <t>S15-N6</t>
        </is>
      </c>
      <c r="B5" s="7" t="inlineStr">
        <is>
          <t>Photos are not sent to ShopCoach; the technician's note is the only evidence it reads</t>
        </is>
      </c>
      <c r="C5" s="7" t="inlineStr">
        <is>
          <t>between 29 Sep 2026 and 13 Oct 2026</t>
        </is>
      </c>
      <c r="D5" s="6">
        <f>HYPERLINK("https://shopview.atlassian.net/wiki/pages/viewpage.action?pageId=768507905","Spec page")</f>
        <v/>
      </c>
      <c r="E5" s="7" t="inlineStr">
        <is>
          <t>New rule with no case. Add a case if it should be tested.</t>
        </is>
      </c>
    </row>
    <row r="6">
      <c r="A6" s="7" t="inlineStr">
        <is>
          <t>S3-R8</t>
        </is>
      </c>
      <c r="B6" s="7" t="inlineStr">
        <is>
          <t>Once the inspection has been built from, the footer shows the outcome in place of Build lines: 'WO created S-235' or 'Lines added S-58', linking to that work order (S2-R13)</t>
        </is>
      </c>
      <c r="C6" s="7" t="inlineStr">
        <is>
          <t>29 Sep 2026 (29 Sep 2026: "QA contradiction pass answered")</t>
        </is>
      </c>
      <c r="D6" s="6">
        <f>HYPERLINK("https://shopview.atlassian.net/wiki/pages/viewpage.action?pageId=768507905","Spec page")</f>
        <v/>
      </c>
      <c r="E6" s="7" t="inlineStr">
        <is>
          <t>New rule with no case. Add a case if it should be tested.</t>
        </is>
      </c>
    </row>
    <row r="7">
      <c r="A7" s="7" t="inlineStr">
        <is>
          <t>S4-R5</t>
        </is>
      </c>
      <c r="B7" s="7" t="inlineStr">
        <is>
          <t>Once the inspection has been built from, the note shows the outcome in place of Build lines, worded as in S3-R8 (S2-R13)</t>
        </is>
      </c>
      <c r="C7" s="7" t="inlineStr">
        <is>
          <t>29 Sep 2026 (29 Sep 2026: "QA contradiction pass answered")</t>
        </is>
      </c>
      <c r="D7" s="6">
        <f>HYPERLINK("https://shopview.atlassian.net/wiki/pages/viewpage.action?pageId=768507905","Spec page")</f>
        <v/>
      </c>
      <c r="E7" s="7" t="inlineStr">
        <is>
          <t>New rule with no case. Add a case if it should be tested.</t>
        </is>
      </c>
    </row>
    <row r="8">
      <c r="A8" s="6">
        <f>HYPERLINK("https://shopview.atlassian.net/browse/SV-10938","SV-10938")</f>
        <v/>
      </c>
      <c r="B8" s="7" t="inlineStr">
        <is>
          <t>On a phone, filling an inspection has Save &amp; exit, like desktop. (Not in the spec yet.)</t>
        </is>
      </c>
      <c r="C8" s="7" t="inlineStr">
        <is>
          <t>9 Oct 2026, Milos Vasic</t>
        </is>
      </c>
      <c r="D8" s="6">
        <f>HYPERLINK("https://shopview.atlassian.net/browse/SV-10938","Jira")</f>
        <v/>
      </c>
      <c r="E8" s="7" t="inlineStr">
        <is>
          <t>Add a case if it should be tested.</t>
        </is>
      </c>
    </row>
    <row r="9">
      <c r="A9" s="6">
        <f>HYPERLINK("https://shopview.atlassian.net/browse/SV-10937","SV-10937")</f>
        <v/>
      </c>
      <c r="B9" s="7" t="inlineStr">
        <is>
          <t>An inspection on a completed line can now be filled and submitted. This changes how V1 worked, and no product decision is recorded.</t>
        </is>
      </c>
      <c r="C9" s="7" t="inlineStr">
        <is>
          <t>9 Oct 2026, developer</t>
        </is>
      </c>
      <c r="D9" s="6">
        <f>HYPERLINK("https://shopview.atlassian.net/browse/SV-10937","Jira")</f>
        <v/>
      </c>
      <c r="E9" s="7" t="inlineStr">
        <is>
          <t>Worth confirming with Milos before adding a 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2026-10-14T08:28:44Z</dcterms:created>
  <dcterms:modified xsi:type="dcterms:W3CDTF">2026-10-14T08:28:44Z</dcterms:modified>
</cp:coreProperties>
</file>