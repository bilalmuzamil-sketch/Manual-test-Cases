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cases to update" sheetId="2" state="visible" r:id="rId2"/>
    <sheet name="New test cases needed" sheetId="3" state="visible" r:id="rId3"/>
    <sheet name="Need product decision firs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color rgb="001155CC"/>
      <u val="single"/>
    </font>
    <font>
      <name val="Arial"/>
    </font>
    <font>
      <name val="Arial"/>
      <b val="1"/>
    </font>
    <font>
      <name val="Arial"/>
      <b val="1"/>
      <sz val="14"/>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00" customWidth="1" min="2" max="2"/>
  </cols>
  <sheetData>
    <row r="1">
      <c r="A1" s="1" t="inlineStr">
        <is>
          <t>DVI V2 test cases whose expected behaviour has changed</t>
        </is>
      </c>
      <c r="B1" s="2" t="inlineStr"/>
    </row>
    <row r="2">
      <c r="A2" s="2" t="inlineStr"/>
      <c r="B2" s="2" t="inlineStr"/>
    </row>
    <row r="3">
      <c r="A3" s="3" t="inlineStr">
        <is>
          <t>Hi Viktoria and Vladimir,</t>
        </is>
      </c>
      <c r="B3" s="2" t="inlineStr"/>
    </row>
    <row r="4">
      <c r="A4" s="2" t="inlineStr"/>
      <c r="B4" s="2" t="inlineStr">
        <is>
          <t>We compared every Digital Inspection V2 test case with the current spec (version 43, 13 October 2026) and the later decisions in Jira. This sheet lists only the test cases where the expected behaviour has changed. Wording-only changes are left out.</t>
        </is>
      </c>
    </row>
    <row r="5">
      <c r="A5" s="2" t="inlineStr"/>
      <c r="B5" s="2" t="inlineStr">
        <is>
          <t>For each test case it shows the expected behaviour and steps as they are in the case today (before), and as they should be now, with the spec rule and the date the spec changed it.</t>
        </is>
      </c>
    </row>
    <row r="6">
      <c r="A6" s="3" t="inlineStr">
        <is>
          <t>Viktoria</t>
        </is>
      </c>
      <c r="B6" s="2" t="inlineStr">
        <is>
          <t>The DVI V2 team sync of 12 October says "QA on the feature squad owns writing and updating test cases", so these updates are yours to make. We have not edited any test case.</t>
        </is>
      </c>
    </row>
    <row r="7">
      <c r="A7" s="3" t="inlineStr">
        <is>
          <t>Vladimir</t>
        </is>
      </c>
      <c r="B7" s="2" t="inlineStr">
        <is>
          <t>Test cases marked Automated = Yes may have automation that still checks the old behaviour.</t>
        </is>
      </c>
    </row>
    <row r="8">
      <c r="A8" s="2" t="inlineStr"/>
      <c r="B8" s="2" t="inlineStr"/>
    </row>
    <row r="9">
      <c r="A9" s="3" t="inlineStr">
        <is>
          <t>Test cases to update</t>
        </is>
      </c>
      <c r="B9" s="2">
        <f>COUNTA('Test cases to update'!A2:A)</f>
        <v/>
      </c>
    </row>
    <row r="10">
      <c r="A10" s="3" t="inlineStr">
        <is>
          <t>Of which automated</t>
        </is>
      </c>
      <c r="B10" s="2">
        <f>COUNTIF('Test cases to update'!C2:C,"Yes")</f>
        <v/>
      </c>
    </row>
    <row r="11">
      <c r="A11" s="3" t="inlineStr">
        <is>
          <t>New test cases needed</t>
        </is>
      </c>
      <c r="B11" s="2">
        <f>COUNTA('New test cases needed'!A2:A)</f>
        <v/>
      </c>
    </row>
    <row r="12">
      <c r="A12" s="3" t="inlineStr">
        <is>
          <t>Need a product decision first</t>
        </is>
      </c>
      <c r="B12" s="2">
        <f>COUNTA('Need product decision first'!A2:A)</f>
        <v/>
      </c>
    </row>
    <row r="13">
      <c r="A13" s="2" t="inlineStr"/>
      <c r="B13" s="2" t="inlineStr">
        <is>
          <t>"New test cases needed" lists behaviour that changed or was added since 22 September and that no existing test case checks, with the change that makes each one necessary. "Need product decision first" lists possible tests that rest only on a developer's description or the technical plan; please do not write them until product confirms.</t>
        </is>
      </c>
    </row>
    <row r="14">
      <c r="A14" s="2" t="inlineStr"/>
      <c r="B14" s="2" t="inlineStr"/>
    </row>
    <row r="15">
      <c r="A15" s="3" t="inlineStr">
        <is>
          <t>The spec</t>
        </is>
      </c>
      <c r="B15" s="4">
        <f>HYPERLINK("https://shopview.atlassian.net/wiki/pages/viewpage.action?pageId=768507905","Confluence page 768507905, Digital Inspections V2, version 43 (13 Oct 2026)")</f>
        <v/>
      </c>
    </row>
    <row r="16">
      <c r="A16" s="3" t="inlineStr">
        <is>
          <t>When each rule changed</t>
        </is>
      </c>
      <c r="B16" s="2" t="inlineStr">
        <is>
          <t>From the Change Log at the end of the spec. Where a rule is not named in the change log, a date range is given.</t>
        </is>
      </c>
    </row>
    <row r="17">
      <c r="A17" s="3" t="inlineStr">
        <is>
          <t>Team sync, 12 Oct 2026</t>
        </is>
      </c>
      <c r="B17" s="4">
        <f>HYPERLINK("https://shopview.slack.com/archives/C0C39T5MLMB/p1791807912692899","Milos Vasic in #fs-dvi-v2")</f>
        <v/>
      </c>
    </row>
    <row r="18">
      <c r="A18" s="3" t="inlineStr">
        <is>
          <t>The test cases</t>
        </is>
      </c>
      <c r="B18" s="4">
        <f>HYPERLINK("https://shopview.testrail.io/index.php?/suites/view/1&amp;group_id=6658","TestRail folder: Digital Inspection V2")</f>
        <v/>
      </c>
    </row>
    <row r="19">
      <c r="A19" s="2" t="inlineStr"/>
      <c r="B19" s="2" t="inlineStr"/>
    </row>
    <row r="20">
      <c r="A20" s="3" t="inlineStr">
        <is>
          <t>Thank you,</t>
        </is>
      </c>
      <c r="B20" s="2" t="inlineStr">
        <is>
          <t>Bilal Muzamil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11" customWidth="1" min="3" max="3"/>
    <col width="38" customWidth="1" min="4" max="4"/>
    <col width="45" customWidth="1" min="5" max="5"/>
    <col width="34" customWidth="1" min="6" max="6"/>
    <col width="50" customWidth="1" min="7" max="7"/>
    <col width="50" customWidth="1" min="8" max="8"/>
    <col width="50" customWidth="1" min="9" max="9"/>
    <col width="50" customWidth="1" min="10" max="10"/>
    <col width="30" customWidth="1" min="11" max="11"/>
    <col width="12" customWidth="1" min="12" max="12"/>
  </cols>
  <sheetData>
    <row r="1">
      <c r="A1" s="5" t="inlineStr">
        <is>
          <t>Case</t>
        </is>
      </c>
      <c r="B1" s="5" t="inlineStr">
        <is>
          <t>Case title</t>
        </is>
      </c>
      <c r="C1" s="5" t="inlineStr">
        <is>
          <t>Automated?</t>
        </is>
      </c>
      <c r="D1" s="5" t="inlineStr">
        <is>
          <t>What changed in behaviour</t>
        </is>
      </c>
      <c r="E1" s="5" t="inlineStr">
        <is>
          <t>What a tester sees differently (proof)</t>
        </is>
      </c>
      <c r="F1" s="5" t="inlineStr">
        <is>
          <t>Spec rule and when the spec changed it</t>
        </is>
      </c>
      <c r="G1" s="5" t="inlineStr">
        <is>
          <t>Expected behaviour before</t>
        </is>
      </c>
      <c r="H1" s="5" t="inlineStr">
        <is>
          <t>Expected behaviour now</t>
        </is>
      </c>
      <c r="I1" s="5" t="inlineStr">
        <is>
          <t>Steps before</t>
        </is>
      </c>
      <c r="J1" s="5" t="inlineStr">
        <is>
          <t>Steps now</t>
        </is>
      </c>
      <c r="K1" s="5" t="inlineStr">
        <is>
          <t>Note</t>
        </is>
      </c>
      <c r="L1" s="5" t="inlineStr">
        <is>
          <t>Source</t>
        </is>
      </c>
    </row>
    <row r="2">
      <c r="A2" s="6">
        <f>HYPERLINK("https://shopview.testrail.io/index.php?/cases/view/88513","C88513")</f>
        <v/>
      </c>
      <c r="B2" s="7" t="inlineStr">
        <is>
          <t>Choose which work order gets the lines, or a new one, before drafting</t>
        </is>
      </c>
      <c r="C2" s="7" t="inlineStr">
        <is>
          <t>Yes</t>
        </is>
      </c>
      <c r="D2" s="7" t="inlineStr">
        <is>
          <t>For a work order that cannot take lines, the menu now still opens and offers only a new work order, instead of creating one without asking or listing the old work order with a reason.</t>
        </is>
      </c>
      <c r="E2" s="7" t="inlineStr">
        <is>
          <t>Before (22 Sep spec): on an inspection whose work order is Complete, Invoiced, Paid or Declined, pressing Build lines created a new work order straight away ('the system will create a new work order without asking'); another line of the same spec said a destination that cannot take lines 'will keep its place in the menu and say why'. Now (14 Oct spec): 'the destination menu still opens and offers only a new work order', and the keep-its-place rule is deleted ('a target that cannot be used is not shown'). Same action, different screen and outcome: the tester now sees a menu offering only 'A new work order', and nothing is created until they choose it.</t>
        </is>
      </c>
      <c r="F2" s="7" t="inlineStr">
        <is>
          <t>S2-R5: 29 Sep 2026 (QA contradiction pass answered)
S2-R15: 29 Sep 2026 (QA contradiction pass answered)</t>
        </is>
      </c>
      <c r="G2" s="7" t="inlineStr">
        <is>
          <t>When the run-on work order is not eligible (Complete, Invoiced, Paid, Declined, or an invoice already exists), a new work order is created without asking.
A destination that cannot take lines keeps its place in the menu and says why, rather than silently disappearing.</t>
        </is>
      </c>
      <c r="H2" s="7" t="inlineStr">
        <is>
          <t>On the inspection whose work order is not eligible (Complete, Invoiced, Paid or Declined, or it already has an invoice), pressing Build lines still opens the destination menu; no new work order is created without asking.
The menu offers only a new work order. The inspection's own work order is not listed at all: it is not shown greyed out and no reason is given.
Choosing the new work order creates it for the same customer and asset and the drafting starts there (unchanged).</t>
        </is>
      </c>
      <c r="I2" s="7" t="inlineStr">
        <is>
          <t>3. On the ineligible-work-order inspection, confirm a new work order is created without asking, for the same customer and asset.
4. Confirm an ineligible destination keeps its place in the menu and states why.</t>
        </is>
      </c>
      <c r="J2" s="7" t="inlineStr">
        <is>
          <t>1. Open the completed inspection whose work order is not eligible (for example Complete, or already invoiced).
2. Press Build lines.
3. Read the destination menu that opens.
4. Check the inspection's own work order is not in the menu and only a new work order is offered.
5. Choose the new work order.
6. Check a new work order is created for the same customer and asset and the drafting starts on it.</t>
        </is>
      </c>
      <c r="K2" s="7" t="inlineStr">
        <is>
          <t>Decided by the product manager on 29 Sep. The 22 Sep spec contradicted itself (one line said no menu, another implied the old work order stayed in the menu with a reason); the new rule differs from both readings, so this is a change either way. The last expected line is unchanged and kept only to finish the flow.</t>
        </is>
      </c>
      <c r="L2" s="6">
        <f>HYPERLINK("https://shopview.atlassian.net/wiki/pages/viewpage.action?pageId=768507905","Spec page")</f>
        <v/>
      </c>
    </row>
    <row r="3">
      <c r="A3" s="6">
        <f>HYPERLINK("https://shopview.testrail.io/index.php?/cases/view/88515","C88515")</f>
        <v/>
      </c>
      <c r="B3" s="7" t="inlineStr">
        <is>
          <t>After building you land on Lines, the finding is marked done, rebuild asks</t>
        </is>
      </c>
      <c r="C3" s="7" t="inlineStr">
        <is>
          <t>No</t>
        </is>
      </c>
      <c r="D3" s="7" t="inlineStr">
        <is>
          <t>Lines can now be built from an inspection only once: a second Add Lines adds nothing and says where the lines went, no confirmation is asked, and the completed inspection and the work order note show the outcome instead of Build lines.</t>
        </is>
      </c>
      <c r="E3" s="7" t="inlineStr">
        <is>
          <t>Before (22 Sep spec): 'If lines have already been added from this inspection, the user will be asked to confirm before adding a second set.' The tester was asked to confirm, and a second set was then added. Now (14 Oct spec): 'An inspection is built from once ... no entry point offers the build action again: the completed inspection, the work order note and the asset row show the outcome instead ... if the inspection was built from elsewhere in the meantime, nothing is added and the user is told where the lines went.' There is no confirmation; a second Add Lines adds nothing and says where the lines went, and Build lines is no longer offered.</t>
        </is>
      </c>
      <c r="F3" s="7" t="inlineStr">
        <is>
          <t>S2-R13: 29 Sep 2026 (QA contradiction pass answered)
S3-R8: 29 Sep 2026 (QA contradiction pass answered)
S4-R5: 29 Sep 2026 (QA contradiction pass answered)
S5-R9: 29 Sep 2026 (QA contradiction pass answered)</t>
        </is>
      </c>
      <c r="G3" s="7" t="inlineStr">
        <is>
          <t>If lines were already added from this inspection, the user is asked to confirm before adding a second set, checked when Add Lines is pressed.</t>
        </is>
      </c>
      <c r="H3" s="7" t="inlineStr">
        <is>
          <t>After an inspection's lines have been added, the completed inspection and the work order's inspection report note no longer offer Build lines; each shows the outcome instead ('WO created …' or 'Lines added …') with a link to the work order that got the lines.
If a second set of proposed lines was already open for the same inspection, pressing Add Lines there adds nothing and tells you where the lines went.
No question asking you to confirm a second set appears at any point.</t>
        </is>
      </c>
      <c r="I3" s="7" t="inlineStr">
        <is>
          <t>4. Press Add Lines a second time from the same inspection; confirm you are asked to confirm before a second set is added.</t>
        </is>
      </c>
      <c r="J3" s="7" t="inlineStr">
        <is>
          <t>1. Open the same completed inspection (one not yet built from) in two browser tabs.
2. In the first tab, press Build lines, choose This work order and wait for the proposed lines.
3. In the second tab, press Build lines, choose This work order and wait for the proposed lines.
4. In the first tab, press Add Lines.
5. In the second tab, press Add Lines.
6. Check nothing is added from the second tab, a message says where the lines went, and no question asks you to confirm adding a second set.
7. Open the completed inspection and the work order's inspection report note.
8. Check neither offers Build lines and each shows the outcome with a link to the work order that got the lines.</t>
        </is>
      </c>
      <c r="K3" s="7" t="inlineStr">
        <is>
          <t>Decided on 29 Sep ('an inspection is built from once'); the decision on two users building at the same time was reworded on 7 Oct. The asset's Inspections tab row already showed the outcome after a build on 22 Sep, so it is not part of this change and is left out.</t>
        </is>
      </c>
      <c r="L3" s="6">
        <f>HYPERLINK("https://shopview.atlassian.net/wiki/pages/viewpage.action?pageId=768507905","Spec page")</f>
        <v/>
      </c>
    </row>
    <row r="4">
      <c r="A4" s="6">
        <f>HYPERLINK("https://shopview.testrail.io/index.php?/cases/view/88518","C88518")</f>
        <v/>
      </c>
      <c r="B4" s="7" t="inlineStr">
        <is>
          <t>Building lines with long notes, many findings, or a deleted work order</t>
        </is>
      </c>
      <c r="C4" s="7" t="inlineStr">
        <is>
          <t>Yes</t>
        </is>
      </c>
      <c r="D4" s="7" t="inlineStr">
        <is>
          <t>A second Add Lines no longer adds a duplicate set, and after the run-on work order is deleted the inspection no longer goes back to needing a work order.</t>
        </is>
      </c>
      <c r="E4" s="7" t="inlineStr">
        <is>
          <t>Two users: before (22 Sep spec), 'Duplication happens only if both press Add Lines, which is accepted and recoverable', so the second press added a duplicate set. Now (14 Oct spec): 'When both press Add Lines, only the first adds lines; the second adds nothing and the user is told where the lines went.' Deleted run-on work order: before, where the lines had been added to that work order, 'the inspection counts as needing a work order again', so it was counted in the summary and could be built from again. Now: 'an inspection that has a report survives it as a read-only record ... The inspection does not count as needing a work order, because it can no longer be built from.' It is not counted and offers no Build lines.</t>
        </is>
      </c>
      <c r="F4" s="7" t="inlineStr">
        <is>
          <t>S2-E6: 7 Oct 2026 (Leftovers from the built-once rule; file limit; submit name)
S2-E12: 6 Oct 2026 (Deleted work orders, removed inspections and splits)
S5-E3: 6 Oct 2026 (Deleted work orders, removed inspections and splits)</t>
        </is>
      </c>
      <c r="G4" s="7" t="inlineStr">
        <is>
          <t>If two users draft from the same inspection at once, the drafting itself duplicates nothing; duplication happens only if both press Add Lines, which is accepted and recoverable.
If the run-on work order is deleted, the inspection survives it and stays listed on the asset with a dash in its work order column; any lines added to that work order are gone with it and the inspection counts as needing a work order again.</t>
        </is>
      </c>
      <c r="H4" s="7" t="inlineStr">
        <is>
          <t>If two users draft from the same inspection at once, the drafting duplicates nothing. When both press Add Lines, only the first adds lines; the second adds nothing and is told where the lines went.
If the work order the inspection was run on is deleted, a completed inspection (one that has a report) stays listed on the asset's Inspections tab as a read-only record with a dash in the Work order column.
The inspection does not count as needing a work order again: it offers no Build lines and is not counted in the summary line, because it can no longer be built from.</t>
        </is>
      </c>
      <c r="I4" s="7" t="inlineStr">
        <is>
          <t>4. Repeat, using the second browser to reopen the inspection, and to delete the built lines versus delete the work order; check each result against the expected result below.</t>
        </is>
      </c>
      <c r="J4" s="7" t="inlineStr">
        <is>
          <t>1. Build from a completed inspection with findings, choose This work order (the work order it was run on), and press Add Lines.
2. Open the asset's Inspections tab and note N in the summary line 'N of M have findings with no lines yet'.
3. In the second browser, delete that work order.
4. Reload the asset's Inspections tab and find the inspection.
5. Check it is still listed, with a dash in the Work order column and no Build lines.
6. Check N in the summary line has not gone up.
7. In both browsers, open the completed screen of another completed inspection with findings that has not been built from, press Build lines, choose This work order and wait for the proposed lines.
8. Press Add Lines in the first browser.
9. Press Add Lines in the second browser.
10. Check only one set of lines is added to the work order and the second browser shows a message saying where the lines went.</t>
        </is>
      </c>
      <c r="K4" s="7" t="inlineStr">
        <is>
          <t>Product manager decisions of 6 and 7 Oct; the developer confirmed on 8 Oct that such an inspection is not counted in 'N of M have findings with no lines yet'. Lines added to the deleted work order going with it is unchanged, so it is left out. What happens to an inspection with no report when its work order is deleted is covered by another case, not here.</t>
        </is>
      </c>
      <c r="L4" s="6">
        <f>HYPERLINK("https://shopview.atlassian.net/wiki/pages/viewpage.action?pageId=768507905","Spec page")</f>
        <v/>
      </c>
    </row>
    <row r="5">
      <c r="A5" s="6">
        <f>HYPERLINK("https://shopview.testrail.io/index.php?/cases/view/88520","C88520")</f>
        <v/>
      </c>
      <c r="B5" s="7" t="inlineStr">
        <is>
          <t>The summary card, counts per verdict, and the section review</t>
        </is>
      </c>
      <c r="C5" s="7" t="inlineStr">
        <is>
          <t>Yes</t>
        </is>
      </c>
      <c r="D5" s="7" t="inlineStr">
        <is>
          <t>The findings list now shows one entry per flagged row with all its flagged positions, instead of one entry per flagged position.</t>
        </is>
      </c>
      <c r="E5" s="7" t="inlineStr">
        <is>
          <t>Before (22 Sep spec): the findings list named 'each flagged position as field, axle, row and position with the reading that earned it', so two flagged tires on one row gave two entries. Now (14 Oct spec): it names 'each flagged row as field, axle and row, followed by every flagged position on it with its reading', for example 'Brake &amp; tire measurements · Axle 1 · Tire pressure: left outer 42 psi, right outer 40 psi'. The same two tires now give one entry listing both; a list with one entry per tire now fails.</t>
        </is>
      </c>
      <c r="F5" s="7" t="inlineStr">
        <is>
          <t>S3-R4: 29 Sep 2026 (QA contradiction pass answered)</t>
        </is>
      </c>
      <c r="G5" s="7" t="inlineStr">
        <is>
          <t>The screen leads with a summary card: the completion line, a count per verdict, and a findings list naming each flagged position (field, axle, row, position) with the reading that earned it.</t>
        </is>
      </c>
      <c r="H5" s="7" t="inlineStr">
        <is>
          <t>The findings list has one entry per flagged measurement row, not one entry per flagged tire or brake.
Each entry names the field, the axle and the row, followed by every flagged position on that row with its reading, for example 'Brake &amp; tire measurements · Axle 1 · Tire pressure: left outer 42 psi, right outer 40 psi'.</t>
        </is>
      </c>
      <c r="I5" s="7" t="inlineStr">
        <is>
          <t>1. Read the summary card: completion line, a count per verdict, and the findings list naming each flagged position as field, axle, row and position with its reading.</t>
        </is>
      </c>
      <c r="J5" s="7" t="inlineStr">
        <is>
          <t>1. Add a Per axle field to the template next to the checkbox fields.
2. While filling, on Axle 1 Tire pressure, flag two positions (for example left outer 42 psi and right outer 40 psi, Not OK).
3. Complete the inspection and open its completed screen.
4. Read the findings list on the summary card.
5. Check the two flagged tires appear in one entry for Axle 1 · Tire pressure, listing both positions with their readings.</t>
        </is>
      </c>
      <c r="K5" s="7" t="inlineStr">
        <is>
          <t>Decided on 29 Sep ('one finding per flagged row'). The 22 Sep spec was inconsistent: elsewhere it already said a flagged row produces its own finding. The old check would also pass a list with one entry per tire, which the new one fails. A flagged checkbox field being its own entry is unchanged and is left out.</t>
        </is>
      </c>
      <c r="L5" s="6">
        <f>HYPERLINK("https://shopview.atlassian.net/wiki/pages/viewpage.action?pageId=768507905","Spec page")</f>
        <v/>
      </c>
    </row>
    <row r="6">
      <c r="A6" s="6">
        <f>HYPERLINK("https://shopview.testrail.io/index.php?/cases/view/88522","C88522")</f>
        <v/>
      </c>
      <c r="B6" s="7" t="inlineStr">
        <is>
          <t>Building lines when the work order is deleted, built twice, or reopened</t>
        </is>
      </c>
      <c r="C6" s="7" t="inlineStr">
        <is>
          <t>Yes</t>
        </is>
      </c>
      <c r="D6" s="7" t="inlineStr">
        <is>
          <t>With its work order deleted the inspection can no longer be built from at all and its footer offers View PDF only, and a build by someone else is no longer followed by a 'build again?' confirmation because an inspection is built from once.</t>
        </is>
      </c>
      <c r="E6" s="7" t="inlineStr">
        <is>
          <t>Deleted run-on work order: before (22 Sep spec), 'only the option to create a new work order is offered', so the tester saw Build lines (with 'A new work order') and Go to work order. Now (14 Oct spec): 'no build action is offered' and 'the footer offers View PDF only, with or without ShopCoach, and no plain line; it also shows the outcome when the lines went onto another work order that still exists'. Another user building while the screen is open: before, this led to the confirmation to build again; now 'the check' means built once, so nothing is added, the tester is told where the lines went, and the footer then shows the outcome ('WO created S-235' or 'Lines added S-58') instead of Build lines.</t>
        </is>
      </c>
      <c r="F6" s="7" t="inlineStr">
        <is>
          <t>S3-E1: 6 Oct 2026 (Deleted work orders, removed inspections and splits)
S3-R6: 7 Oct 2026 (Deleted work order: outcome, footer, reopened, merge (SV-10965))
S3-E2: 7 Oct 2026 (Leftovers from the built-once rule; file limit; submit name)
S2-R13: 29 Sep 2026 (QA contradiction pass answered)
S3-R8: 29 Sep 2026 (QA contradiction pass answered)</t>
        </is>
      </c>
      <c r="G6" s="7" t="inlineStr">
        <is>
          <t>If the run-on work order has been deleted, only the option to create a new work order is offered.
If another user builds from the same inspection while this screen is open, the re-build confirmation is based on the current state rather than the state when the screen loaded.</t>
        </is>
      </c>
      <c r="H6" s="7" t="inlineStr">
        <is>
          <t>With the run-on work order deleted, the completed inspection offers no build action at all: no Build lines and no new-work-order option.
Its footer offers View PDF only, with or without ShopCoach: no Go to work order and no line about the work order note feed.
If lines had been built onto another work order that still exists before the deletion, the footer also shows that outcome (for example 'WO created S-235'), linking to it.
If another user adds lines from the same inspection while your screen is open, the check uses the inspection as it is now: nothing is added a second time and you are told where the lines went. No confirmation to build again appears.
After that, the screen no longer offers Build lines; its footer shows the outcome ('WO created …' or 'Lines added …') with a link.</t>
        </is>
      </c>
      <c r="I6" s="7" t="inlineStr">
        <is>
          <t>1. Delete the run-on work order, then open the completed inspection; confirm only 'create a new work order' is offered.
2. In a second browser signed in as another user, build from the same inspection while this screen is still open in the first; check the re-build confirmation reflects the current state, not the state when the screen loaded.</t>
        </is>
      </c>
      <c r="J6" s="7" t="inlineStr">
        <is>
          <t>1. Delete the work order that a completed, not yet built-from inspection with findings was run on.
2. Open the asset's Inspections tab and open that inspection.
3. Check its footer offers View PDF only: no Build lines, no Go to work order and no line about the work order note feed.
4. Complete another inspection with a Not OK finding, press Build lines, choose A new work order and press Add Lines.
5. Delete the work order that inspection was run on (not the new one).
6. Open the asset's Inspections tab and open that inspection.
7. Check its footer offers View PDF and the outcome 'WO created …' linking to the new work order, with no Build lines and no Go to work order.
8. In an organisation without ShopCoach, delete the work order a completed inspection was run on.
9. Open that inspection from the asset's Inspections tab.
10. Check its footer offers View PDF only, with no Go to work order and no plain line about the customer report and the work order note feed.
11. Back in the organisation with ShopCoach, open the completed screen of a third completed inspection with findings in the first browser.
12. In the second browser, signed in as another user, build from the same inspection and press Add Lines.
13. In the first browser, without reloading, press Build lines, choose a target and, if proposed lines appear, press Add Lines.
14. Check nothing is added a second time, you are told where the lines went, and no confirmation to build again appears.
15. Reload the completed screen.
16. Check the footer shows the outcome with a link instead of Build lines.</t>
        </is>
      </c>
      <c r="K6" s="7" t="inlineStr">
        <is>
          <t>Decided by the product manager on 6 and 7 Oct in answer to the developer's questions. Steps 8 to 10 need an organisation without ShopCoach.</t>
        </is>
      </c>
      <c r="L6" s="6">
        <f>HYPERLINK("https://shopview.atlassian.net/wiki/pages/viewpage.action?pageId=768507905","Spec page")</f>
        <v/>
      </c>
    </row>
    <row r="7">
      <c r="A7" s="6">
        <f>HYPERLINK("https://shopview.testrail.io/index.php?/cases/view/88523","C88523")</f>
        <v/>
      </c>
      <c r="B7" s="7" t="inlineStr">
        <is>
          <t>Build lines from the report note, on a phone and on an ineligible work order</t>
        </is>
      </c>
      <c r="C7" s="7" t="inlineStr">
        <is>
          <t>Yes</t>
        </is>
      </c>
      <c r="D7" s="7" t="inlineStr">
        <is>
          <t>For a work order that cannot take lines, the note's Build lines now opens the menu offering only a new work order, instead of creating one without asking.</t>
        </is>
      </c>
      <c r="E7" s="7" t="inlineStr">
        <is>
          <t>The note's own rule still says the build 'creates a new work order ... and the note stays where it is', but the rule it points to changed. Before (22 Sep spec): 'the system will create a new work order without asking', so pressing Build lines on the note of a Complete work order created a new work order straight away. Now (14 Oct spec): 'the destination menu still opens and offers only a new work order', so a menu opens with only 'A new work order' and nothing is created until the user chooses it.</t>
        </is>
      </c>
      <c r="F7" s="7" t="inlineStr">
        <is>
          <t>S2-R5: 29 Sep 2026 (QA contradiction pass answered)</t>
        </is>
      </c>
      <c r="G7" s="7" t="inlineStr">
        <is>
          <t>If the work order is not an eligible build target, the build creates a new work order and the note stays where it is.</t>
        </is>
      </c>
      <c r="H7" s="7" t="inlineStr">
        <is>
          <t>On the note of a work order that is not eligible (Complete, Invoiced, Paid or Declined, or already invoiced), pressing Build lines opens the destination menu; it does not create a work order without asking.
The menu offers only a new work order; this work order is not listed.
Choosing it builds onto a new work order for the same customer and asset, and the note stays where it is (unchanged).</t>
        </is>
      </c>
      <c r="I7" s="7" t="inlineStr">
        <is>
          <t>3. On a note whose work order status is not eligible (Complete, Invoiced, Paid or Declined), check a new work order is created and the note stays put.</t>
        </is>
      </c>
      <c r="J7" s="7" t="inlineStr">
        <is>
          <t>1. On the note whose work order is Complete, Invoiced, Paid or Declined, press Build lines.
2. Check the destination menu opens and offers only a new work order.
3. Choose the new work order.
4. Check a new work order is created for the same customer and asset.
5. Check the note is still on the original work order.</t>
        </is>
      </c>
      <c r="K7" s="7" t="inlineStr">
        <is>
          <t>Decided on 29 Sep. The note rule's own wording did not change; the rule it refers to did. The last expected line (new work order created, note stays put) is unchanged and kept only to finish the flow.</t>
        </is>
      </c>
      <c r="L7" s="6">
        <f>HYPERLINK("https://shopview.atlassian.net/wiki/pages/viewpage.action?pageId=768507905","Spec page")</f>
        <v/>
      </c>
    </row>
    <row r="8">
      <c r="A8" s="6">
        <f>HYPERLINK("https://shopview.testrail.io/index.php?/cases/view/88524","C88524")</f>
        <v/>
      </c>
      <c r="B8" s="7" t="inlineStr">
        <is>
          <t>Building again asks to confirm, based on the inspection as it is now</t>
        </is>
      </c>
      <c r="C8" s="7" t="inlineStr">
        <is>
          <t>No</t>
        </is>
      </c>
      <c r="D8" s="7" t="inlineStr">
        <is>
          <t>Building again from the note with a confirmation is gone: once built from anywhere, the note shows the outcome instead of Build lines, and a stale Add Lines started from the note adds nothing.</t>
        </is>
      </c>
      <c r="E8" s="7" t="inlineStr">
        <is>
          <t>Before (22 Sep spec): on the note of an inspection already built from elsewhere, Build lines was present and pressing it led to a confirmation ('If the inspection was already built from through another entry point, the user is asked to confirm'). Now (14 Oct spec) those rules are deleted and 'Once the inspection has been built from, the note shows the outcome in place of Build lines': there is no Build lines, only a 'WO created …' or 'Lines added …' link, and an Add Lines pressed on lines drafted before the other build adds nothing and says where the lines went.</t>
        </is>
      </c>
      <c r="F8" s="7" t="inlineStr">
        <is>
          <t>S4-R3: 29 Sep 2026 (QA contradiction pass answered)
S4-E2: 29 Sep 2026 (QA contradiction pass answered)
S2-R13: 29 Sep 2026 (QA contradiction pass answered)
S4-R5: 29 Sep 2026 (QA contradiction pass answered)</t>
        </is>
      </c>
      <c r="G8" s="7" t="inlineStr">
        <is>
          <t>The re-build confirmation is based on the inspection's current state rather than on the note, so a build done elsewhere afterwards still triggers the warning.
If the inspection was already built from through another entry point, the user is asked to confirm.</t>
        </is>
      </c>
      <c r="H8" s="7" t="inlineStr">
        <is>
          <t>The note of an inspection already built from elsewhere does not offer Build lines. In its place it shows the outcome, 'WO created …' or 'Lines added …', linking to the work order that got the lines.
The note shows the inspection as it is now, even though the note was posted before the build.
No confirmation to build again is shown.
If the proposed lines from the note were already open when the other build happened, pressing Add Lines adds nothing and says where the lines went.</t>
        </is>
      </c>
      <c r="I8" s="7" t="inlineStr">
        <is>
          <t>1. From the note, press Build lines on an inspection that has already been built from elsewhere.
2. Confirm the confirmation prompt is based on the inspection's current state rather than on the note's snapshot.</t>
        </is>
      </c>
      <c r="J8" s="7" t="inlineStr">
        <is>
          <t>1. In the first browser tab, open the work order's Notes tab, find the inspection report note, press Build lines, choose This work order and wait for the proposed lines.
2. In a second browser tab, open the same inspection's completed screen, press Build lines, choose a target and press Add Lines.
3. Back in the first tab, press Add Lines.
4. Check nothing is added, a message says where the lines went, and no question asks you to confirm building again.
5. Open the work order's Notes tab and find the inspection report note.
6. Check the note shows the outcome ('WO created …' or 'Lines added …') and no Build lines.
7. Click the outcome link.
8. Check it opens the work order that got the lines.</t>
        </is>
      </c>
      <c r="K8" s="7" t="inlineStr">
        <is>
          <t>Decided on 29 Sep ('an inspection is built from once').</t>
        </is>
      </c>
      <c r="L8" s="6">
        <f>HYPERLINK("https://shopview.atlassian.net/wiki/pages/viewpage.action?pageId=768507905","Spec page")</f>
        <v/>
      </c>
    </row>
    <row r="9">
      <c r="A9" s="6">
        <f>HYPERLINK("https://shopview.testrail.io/index.php?/cases/view/88528","C88528")</f>
        <v/>
      </c>
      <c r="B9" s="7" t="inlineStr">
        <is>
          <t>Inspections tab filters, summary line and needs-action counts</t>
        </is>
      </c>
      <c r="C9" s="7" t="inlineStr">
        <is>
          <t>Yes</t>
        </is>
      </c>
      <c r="D9" s="7" t="inlineStr">
        <is>
          <t>The filter row was removed (three columns sort instead) and the summary line has new words.</t>
        </is>
      </c>
      <c r="E9" s="7" t="inlineStr">
        <is>
          <t>Before (22 Sep spec): 'A filter row will offer All, Needs action, With issues and Not started, each with a count taken from the full list' and 'A summary will read "N of M need a work order"'. Now (14 Oct spec): 'The table has no filter row. The Inspection, Status and Completed columns can be sorted' and 'A summary will read "N of M have findings with no lines yet"'. The tester now sees no filter row, sortable column headers and different summary words.</t>
        </is>
      </c>
      <c r="F9" s="7" t="inlineStr">
        <is>
          <t>S5-R10: 5 Oct 2026 (Developer and QA questions answered)
S5-R11: between 29 Sep 2026 and 2 Oct 2026 (Not named in the change log; Jira SV-10792 (2 Oct 2026) already quotes the new text)
S5-R12: 7 Oct 2026 (Filter leftovers removed)</t>
        </is>
      </c>
      <c r="G9" s="7" t="inlineStr">
        <is>
          <t>A filter row offers All, Needs action, With issues and Not started, each count taken from the full list rather than the filtered view.
A summary reads "N of M need a work order".
An inspection needs action when it was completed after this release, has at least one Monitor or Not OK finding, and has not been built from; a pre-release inspection is never flagged but stays reachable under With issues.</t>
        </is>
      </c>
      <c r="H9" s="7" t="inlineStr">
        <is>
          <t>The tab has no filter row: no All, Needs action, With issues or Not started.
The Inspection, Status and Completed columns can be sorted.
The summary reads "N of M have findings with no lines yet".</t>
        </is>
      </c>
      <c r="I9" s="7" t="inlineStr">
        <is>
          <t>1. Read the filter row (All, Needs action, With issues, Not started) and confirm each count is taken from the full list, not the filtered view.
2. Read the summary 'N of M need a work order'.
3. Confirm an inspection shows Needs action only when it was completed after this release, has a Monitor or Not OK finding, and has not been built from; a pre-release inspection is never flagged but stays reachable under With issues.</t>
        </is>
      </c>
      <c r="J9" s="7" t="inlineStr">
        <is>
          <t>1. Open the asset's Inspections tab.
2. Check there is no filter row.
3. Click the Inspection column header and check the list sorts.
4. Click the Status column header and check the list sorts.
5. Click the Completed column header and check the list sorts.
6. Read the summary line and check it reads 'N of M have findings with no lines yet'.</t>
        </is>
      </c>
      <c r="K9" s="7" t="inlineStr">
        <is>
          <t>The filter row was removed on 5 Oct. The new summary wording has no change-log entry; it first appears in a developer task on 2 Oct. The 22 Sep design already showed no filter chips and the new summary wording, but the 22 Sep spec did not, and the case followed the spec. The default order (most recently completed first) and the rule that a pre-release inspection is never flagged are unchanged and are left out.</t>
        </is>
      </c>
      <c r="L9" s="6">
        <f>HYPERLINK("https://shopview.atlassian.net/wiki/pages/viewpage.action?pageId=768507905","Spec page")</f>
        <v/>
      </c>
    </row>
    <row r="10">
      <c r="A10" s="6">
        <f>HYPERLINK("https://shopview.testrail.io/index.php?/cases/view/88529","C88529")</f>
        <v/>
      </c>
      <c r="B10" s="7" t="inlineStr">
        <is>
          <t>Inspections tab links and buttons, phone use, and the inspection's asset</t>
        </is>
      </c>
      <c r="C10" s="7" t="inlineStr">
        <is>
          <t>Yes</t>
        </is>
      </c>
      <c r="D10" s="7" t="inlineStr">
        <is>
          <t>The tab no longer has a filter row, and it now follows a work order when its asset is changed or assets are merged, instead of staying on the asset first inspected.</t>
        </is>
      </c>
      <c r="E10" s="7" t="inlineStr">
        <is>
          <t>Phone: the rule 'The filter row will wrap on a phone rather than scrolling out of view, and will keep its counts' is deleted, because the tab has no filter row. Asset: before (22 Sep spec), the asset was 'stored on the inspection when it is created rather than derived through its work order ... this tab is a record of what was inspected rather than a view that follows a later correction', so after changing a work order's asset the inspection stayed on the old asset's tab. Now (14 Oct spec): 'The tab lists the inspections whose work order is on this asset now, so it follows the work order when the work order's asset is changed or two assets are merged.' It moves to the new asset's tab and leaves the old one.</t>
        </is>
      </c>
      <c r="F10" s="7" t="inlineStr">
        <is>
          <t>S5-R16: 29 Sep 2026 (QA contradiction pass answered)
S5-R10: 5 Oct 2026 (Developer and QA questions answered)
S5-R21: 5 Oct 2026 (Developer and QA questions answered)</t>
        </is>
      </c>
      <c r="G10" s="7" t="inlineStr">
        <is>
          <t>The filter row wraps on a phone rather than scrolling out of view, and keeps its counts.
An inspection records the asset it was run on, stored on the inspection at creation rather than derived through its work order, and pre-release inspections are backfilled from their work order's asset at migration.</t>
        </is>
      </c>
      <c r="H10" s="7" t="inlineStr">
        <is>
          <t>The tab has no filter row, so on a phone there is no filter row to wrap.
The tab lists the inspections whose work order is on this asset now. When a work order's asset is changed, its inspections move to the new asset's Inspections tab and leave the old one.
When two assets are merged, the inspections move to the surviving asset, as the work orders do.</t>
        </is>
      </c>
      <c r="I10" s="7" t="inlineStr">
        <is>
          <t>2. On a phone, confirm every column's information stays reachable and the page does not scroll sideways; the filter row wraps and keeps its counts.
3. Confirm the tab shows what was inspected (asset stored on the inspection at creation), not a view that follows a later work-order asset change; confirm a pre-release inspection was backfilled from its work order's asset.</t>
        </is>
      </c>
      <c r="J10" s="7" t="inlineStr">
        <is>
          <t>1. On a phone, open the asset's Inspections tab.
2. Check there is no filter row.
3. On desktop, open the work order of one inspection and change its asset to another asset.
4. Open the new asset's Inspections tab and check the inspection is listed there.
5. Open the old asset's Inspections tab and check the inspection is no longer listed.
6. Merge two assets of the same customer (for example by editing one asset's VIN to the other's and answering Yes to merge).
7. Check the inspections of both are listed on the surviving asset.</t>
        </is>
      </c>
      <c r="K10" s="7" t="inlineStr">
        <is>
          <t>Decided on 5 Oct. The 22 Sep spec said nothing about merging assets; under its rule an inspection stayed with the asset it was run on. Not covered here: a later product manager ruling (8 Oct, not yet in the 14 Oct spec) that an inspection whose work order is deleted takes the asset that work order has at that moment. Pre-release inspections being listed on their work order's asset, and every column staying reachable on a phone, are unchanged and are left out.</t>
        </is>
      </c>
      <c r="L10" s="6">
        <f>HYPERLINK("https://shopview.atlassian.net/wiki/pages/viewpage.action?pageId=768507905","Spec page")</f>
        <v/>
      </c>
    </row>
    <row r="11">
      <c r="A11" s="6">
        <f>HYPERLINK("https://shopview.testrail.io/index.php?/cases/view/88530","C88530")</f>
        <v/>
      </c>
      <c r="B11" s="7" t="inlineStr">
        <is>
          <t>How findings are counted, once per axle</t>
        </is>
      </c>
      <c r="C11" s="7" t="inlineStr">
        <is>
          <t>No</t>
        </is>
      </c>
      <c r="D11" s="7" t="inlineStr">
        <is>
          <t>The Needs action filter step 4 checks no longer exists; the counts are now followed by the tab's summary line instead.</t>
        </is>
      </c>
      <c r="E11" s="7" t="inlineStr">
        <is>
          <t>Before (22 Sep spec): the counting rule said 'the asset list, the report summary and the Needs action filter all follow it', and step 4 of the case checked that filter. Now (14 Oct spec): 'the asset list, the report summary and the summary line on the tab all follow it', and 'The table has no filter row.' The counts themselves come out the same; the only difference a tester sees is that the Needs action filter is gone and the summary line takes its place.</t>
        </is>
      </c>
      <c r="F11" s="7" t="inlineStr">
        <is>
          <t>S5-R10: 5 Oct 2026 (Developer and QA questions answered)
S5 counting note: 7 Oct 2026 (Filter leftovers removed)</t>
        </is>
      </c>
      <c r="G11" s="7" t="inlineStr"/>
      <c r="H11" s="7" t="inlineStr">
        <is>
          <t>There is no Needs action filter on the asset's Inspections tab.
The asset list, the report summary and the summary line on the tab ('N of M have findings with no lines yet') all follow the same counting.</t>
        </is>
      </c>
      <c r="I11" s="7" t="inlineStr">
        <is>
          <t>4. Confirm the asset list, report summary and Needs action filter all follow this same count.</t>
        </is>
      </c>
      <c r="J11" s="7" t="inlineStr">
        <is>
          <t>Steps 1 to 3 of the case are unchanged.
4. Open the asset's Inspections tab for these inspections.
5. Check there is no Needs action filter on the tab.
6. Check each row's findings match the counts you confirmed in steps 1 to 3.
7. Open each inspection's report and check its summary shows the same counts.
8. Read the summary line 'N of M have findings with no lines yet' and check it agrees with these inspections.</t>
        </is>
      </c>
      <c r="K11" s="7" t="inlineStr">
        <is>
          <t>The case's Expected results have no line for step 4; the old expectation is in the step itself. This is a knock-on of removing the filter row on 5 Oct; the counting rules give the same counts as before. Separate from this change: the precondition 'some hidden fields' cannot be met in either version and should be fixed when the case is rewritten.</t>
        </is>
      </c>
      <c r="L11" s="6">
        <f>HYPERLINK("https://shopview.atlassian.net/wiki/pages/viewpage.action?pageId=768507905","Spec page")</f>
        <v/>
      </c>
    </row>
    <row r="12">
      <c r="A12" s="6">
        <f>HYPERLINK("https://shopview.testrail.io/index.php?/cases/view/88532","C88532")</f>
        <v/>
      </c>
      <c r="B12" s="7" t="inlineStr">
        <is>
          <t>Inspections tab with not-started, all N/A, deleted, moved and many inspections</t>
        </is>
      </c>
      <c r="C12" s="7" t="inlineStr">
        <is>
          <t>Yes</t>
        </is>
      </c>
      <c r="D12" s="7" t="inlineStr">
        <is>
          <t>After the run-on work order is deleted, only an inspection with a report is kept, as a read-only record that can no longer be built from, reopened or regenerated; a reopened one shows as Completed and opens its latest report.</t>
        </is>
      </c>
      <c r="E12" s="7" t="inlineStr">
        <is>
          <t>Before (22 Sep spec): 'the inspection remains listed, the work order column shows a dash rather than a broken link, and the row remains usable' - an unfinished inspection stayed listed, a kept row could still be built from onto a new work order, and a reopened one read In progress. Now (14 Oct spec): 'an inspection that has a report stays ... as a read-only record ... It cannot be built from, reopened or regenerated. A reopened inspection survives as its latest report: Status reads Completed, Completed shows the date of that report, and opening the row opens that report ... An inspection with no report ... is deleted with its work order.' The unfinished one is gone, the kept row is read-only with View PDF only, and a reopened one reads Completed and opens its report.</t>
        </is>
      </c>
      <c r="F12" s="7" t="inlineStr">
        <is>
          <t>S5-E3: 6 Oct 2026 (Deleted work orders, removed inspections and splits)
S3-R6: 7 Oct 2026 (Deleted work order: outcome, footer, reopened, merge (SV-10965))
SV-10965: 7 Oct 2026 (Milos Vasic in Jira)</t>
        </is>
      </c>
      <c r="G12" s="7" t="inlineStr">
        <is>
          <t>If the run-on work order has been deleted, the inspection stays listed, the work order column shows a dash rather than a broken link, and the row stays usable.</t>
        </is>
      </c>
      <c r="H12" s="7" t="inlineStr">
        <is>
          <t>Only an inspection that has a report (completed, or completed and then reopened) stays listed on the asset's Inspections tab after its work order is deleted. One with no report, such as an unfinished one, is deleted with the work order.
The kept row is a read-only record: it cannot be built from, reopened or regenerated, and its completed screen offers View PDF only.
The Action column shows the outcome (for example 'WO created S-200') only while the work order it points to still exists; otherwise it shows a dash.
A reopened inspection shows Status 'Completed' with the date of its latest report, and opening the row opens that report rather than the answers.
If the lines went onto a different work order and that work order is deleted while the work order the inspection was run on still exists, the row returns to Needs action and offers the build action again (unchanged).</t>
        </is>
      </c>
      <c r="I12" s="7" t="inlineStr">
        <is>
          <t>3. Delete the run-on work order and confirm the inspection stays listed with a dash in the work order column and remains usable; delete a different work order the lines were built onto and confirm the row returns to Needs action.</t>
        </is>
      </c>
      <c r="J12" s="7" t="inlineStr">
        <is>
          <t>1. On one work order for this asset, complete one inspection with a Not OK finding, complete and then reopen a second, and leave a third unfinished.
2. Delete the work order.
3. Open the asset's Inspections tab.
4. Check the completed and the reopened inspections are still listed, each with a dash in the Action column, and the unfinished one is gone.
5. Check the reopened one reads Completed, with the date of its latest report.
6. Open the completed one and check it is read-only and its footer offers View PDF only: no Build lines, no Reopen and no way to regenerate the report.
7. Click the reopened one's row and check its latest report opens, not its answers.
8. On a different work order for this asset, complete an inspection with a Not OK finding, press Build lines, choose A new work order and press Add Lines.
9. Delete the work order that inspection was run on (not the new one).
10. On the asset's Inspections tab, check that row shows 'WO created …' in the Action column, linking to the new work order.
11. On a work order you keep, complete another inspection with a Not OK finding, press Build lines, choose A new work order and press Add Lines.
12. Delete the new work order that got the lines.
13. On the asset's Inspections tab, check that inspection's row needs action again: its Action column offers the build action.</t>
        </is>
      </c>
      <c r="K12" s="7" t="inlineStr">
        <is>
          <t>Product manager decisions of 6 and 7 Oct; the developer built it on 8 Oct. The spec also deletes an inspection that was submitted but whose report was never generated; that state cannot be produced by hand, so it is left out. The last check (lines put on another work order that is then deleted, while the inspection's own work order still exists) is unchanged and is kept so the case does not lose it.</t>
        </is>
      </c>
      <c r="L12" s="6">
        <f>HYPERLINK("https://shopview.atlassian.net/wiki/pages/viewpage.action?pageId=768507905","Spec page")</f>
        <v/>
      </c>
    </row>
    <row r="13">
      <c r="A13" s="6">
        <f>HYPERLINK("https://shopview.testrail.io/index.php?/cases/view/88533","C88533")</f>
        <v/>
      </c>
      <c r="B13" s="7" t="inlineStr">
        <is>
          <t>Build lines from a needs-action row, with the same work order choice</t>
        </is>
      </c>
      <c r="C13" s="7" t="inlineStr">
        <is>
          <t>Yes</t>
        </is>
      </c>
      <c r="D13" s="7" t="inlineStr">
        <is>
          <t>A work order that cannot take lines is now left out of the menu instead of being listed with a reason.</t>
        </is>
      </c>
      <c r="E13" s="7" t="inlineStr">
        <is>
          <t>Before (22 Sep spec): 'When it is not [eligible], the target keeps its place and says why', so the menu listed the Complete work order, greyed out with a reason. Now (14 Oct spec): 'When it is not, it is not offered', and the change log says 'a target that cannot be used is not shown'. The Complete work order is absent and only 'A new work order' is listed.</t>
        </is>
      </c>
      <c r="F13" s="7" t="inlineStr">
        <is>
          <t>S6-R4: 29 Sep 2026 (QA contradiction pass answered)
S2-R15: 29 Sep 2026 (QA contradiction pass answered)
S2-R5: 29 Sep 2026 (QA contradiction pass answered)</t>
        </is>
      </c>
      <c r="G13" s="7" t="inlineStr">
        <is>
          <t>The run-on work order is offered as a target only while it is an eligible build target (judged by its status on the row); when it is not, the target keeps its place and says why.</t>
        </is>
      </c>
      <c r="H13" s="7" t="inlineStr">
        <is>
          <t>When the row's work order is not eligible (for example Complete), the menu still opens but does not list that work order at all - not greyed out and with no reason given; it offers only a new work order.</t>
        </is>
      </c>
      <c r="I13" s="7" t="inlineStr">
        <is>
          <t>3. Check the run-on work order is offered only while its status is eligible; when it is not, the target stays listed and says why.</t>
        </is>
      </c>
      <c r="J13" s="7" t="inlineStr">
        <is>
          <t>1. On the Needs action row whose work order is Complete, press the build action.
2. Check the menu opens and offers only a new work order, with no entry for the Complete work order.</t>
        </is>
      </c>
      <c r="K13" s="7" t="inlineStr">
        <is>
          <t>Decided on 29 Sep. On 22 Sep the Complete work order already could not be chosen; the only change is that it is no longer shown at all. The eligible work order being listed by number and status is unchanged and is left out.</t>
        </is>
      </c>
      <c r="L13" s="6">
        <f>HYPERLINK("https://shopview.atlassian.net/wiki/pages/viewpage.action?pageId=768507905","Spec page")</f>
        <v/>
      </c>
    </row>
    <row r="14">
      <c r="A14" s="6">
        <f>HYPERLINK("https://shopview.testrail.io/index.php?/cases/view/88534","C88534")</f>
        <v/>
      </c>
      <c r="B14" s="7" t="inlineStr">
        <is>
          <t>After building, the row shows the result and the counts update</t>
        </is>
      </c>
      <c r="C14" s="7" t="inlineStr">
        <is>
          <t>No</t>
        </is>
      </c>
      <c r="D14" s="7" t="inlineStr">
        <is>
          <t>There is no Needs action filter any more; after a build the row shows its outcome and the summary line updates.</t>
        </is>
      </c>
      <c r="E14" s="7" t="inlineStr">
        <is>
          <t>Before (22 Sep spec): 'the row will leave the Needs action filter and the counts and summary will update with it', and the summary read 'N of M need a work order'. Now (14 Oct spec): 'the row will show its outcome instead of the action, and the counts and the summary line will update with it'; there is no filter row and the summary reads 'N of M have findings with no lines yet'. The row showing its outcome after a build is not new.</t>
        </is>
      </c>
      <c r="F14" s="7" t="inlineStr">
        <is>
          <t>S6-R7: 7 Oct 2026 (Filter leftovers removed)
S5-R10: 5 Oct 2026 (Developer and QA questions answered)</t>
        </is>
      </c>
      <c r="G14" s="7" t="inlineStr">
        <is>
          <t>After a successful build, the row leaves the Needs action filter and the counts and summary update with it.</t>
        </is>
      </c>
      <c r="H14" s="7" t="inlineStr">
        <is>
          <t>There is no Needs action filter for the row to leave.
After a successful build the summary line, which reads 'N of M have findings with no lines yet', updates with it: N goes down by one.</t>
        </is>
      </c>
      <c r="I14" s="7" t="inlineStr">
        <is>
          <t>3. Confirm the row leaves the Needs action filter and the counts and summary update with it.</t>
        </is>
      </c>
      <c r="J14" s="7" t="inlineStr">
        <is>
          <t>1. Open the asset's Inspections tab and check there is no Needs action filter.
2. Note the summary line 'N of M have findings with no lines yet'.
3. Build from the Needs action row and press Add Lines.
4. Return to the asset's Inspections tab.
5. Check N in the summary line has gone down by one.</t>
        </is>
      </c>
      <c r="K14" s="7" t="inlineStr">
        <is>
          <t>A knock-on of removing the filter row (5 Oct) and the new summary wording. The row showing its outcome instead of the build action is unchanged and is left out.</t>
        </is>
      </c>
      <c r="L14" s="6">
        <f>HYPERLINK("https://shopview.atlassian.net/wiki/pages/viewpage.action?pageId=768507905","Spec page")</f>
        <v/>
      </c>
    </row>
    <row r="15">
      <c r="A15" s="6">
        <f>HYPERLINK("https://shopview.testrail.io/index.php?/cases/view/88536","C88536")</f>
        <v/>
      </c>
      <c r="B15" s="7" t="inlineStr">
        <is>
          <t>Row build with a deleted work order, per row, or a row you can't start</t>
        </is>
      </c>
      <c r="C15" s="7" t="inlineStr">
        <is>
          <t>Yes</t>
        </is>
      </c>
      <c r="D15" s="7" t="inlineStr">
        <is>
          <t>With the run-on work order deleted the row can no longer be built from at all, and the fill-only user's dash no longer carries a permission explanation.</t>
        </is>
      </c>
      <c r="E15" s="7" t="inlineStr">
        <is>
          <t>Deleted run-on work order: before (22 Sep spec), 'only the new-work-order target is offered', so the row showed a build button with 'A new work order'. Now (14 Oct spec): 'the row offers no build action and its action cell shows a dash'. Fill-only user on a closed work order: before, 'The row will show a dash with an explanation that creating a work order requires "Work Orders — Create &amp; Edit". The explanation must be readable on a phone'; now 'has no available action. The row shows a dash.'</t>
        </is>
      </c>
      <c r="F15" s="7" t="inlineStr">
        <is>
          <t>S6-E1: 6 Oct 2026 (Deleted work orders, removed inspections and splits)
S6-E3: between 29 Sep 2026 and 13 Oct 2026 (not in the change log)
S5-E3: 6 Oct 2026 (Deleted work orders, removed inspections and splits)</t>
        </is>
      </c>
      <c r="G15" s="7" t="inlineStr">
        <is>
          <t>If the run-on work order has been deleted, only the new-work-order target is offered.
A user who can fill inspections but cannot create work orders, on a row whose work order is closed, sees a dash with an explanation that creating a work order requires 'Work orders - Create &amp; Edit', readable on a phone.</t>
        </is>
      </c>
      <c r="H15" s="7" t="inlineStr">
        <is>
          <t>With the run-on work order deleted, the row offers no build action at all; its action cell shows a dash.
For a user who can fill inspections but cannot create work orders, a row whose work order is closed shows just a dash, with no explanation about permissions.</t>
        </is>
      </c>
      <c r="I15" s="7" t="inlineStr">
        <is>
          <t>1. With the run-on work order deleted, confirm only the new-work-order target is offered.
3. As the fill-only user on a closed-work-order row, confirm the row shows a dash with an explanation that creating a work order requires 'Work orders - Create &amp; Edit', readable on a phone with no hover.</t>
        </is>
      </c>
      <c r="J15" s="7" t="inlineStr">
        <is>
          <t>1. Delete the run-on work order of a Needs action row.
2. Open the asset's Inspections tab.
3. Check that row offers no build action and its action cell shows a dash.
4. Sign in as the fill-only user and open the asset's Inspections tab.
5. Find the row whose work order is closed.
6. Check its action cell shows only a dash, with no build action and no explanation text.</t>
        </is>
      </c>
      <c r="K15" s="7" t="inlineStr">
        <is>
          <t>The change for the fill-only user has no change-log entry; it happened somewhere between 22 Sep and 13 Oct. That the explanation must not appear is inferred from the spec's general rule that no explanatory text is added unless a requirement asks for it; the new spec simply drops the explanation. The spec also says a row built from before the deletion shows its outcome; that cannot happen to a row that needs action, so it is left out.</t>
        </is>
      </c>
      <c r="L15" s="6">
        <f>HYPERLINK("https://shopview.atlassian.net/wiki/pages/viewpage.action?pageId=768507905","Spec page")</f>
        <v/>
      </c>
    </row>
    <row r="16">
      <c r="A16" s="6">
        <f>HYPERLINK("https://shopview.testrail.io/index.php?/cases/view/88539","C88539")</f>
        <v/>
      </c>
      <c r="B16" s="7" t="inlineStr">
        <is>
          <t>The work order note and Audit Log match, including the line count</t>
        </is>
      </c>
      <c r="C16" s="7" t="inlineStr">
        <is>
          <t>Yes</t>
        </is>
      </c>
      <c r="D16" s="7" t="inlineStr">
        <is>
          <t>The asset row no longer shows the number of lines ('3 lines added'); it reads 'Lines added' or 'WO created'.</t>
        </is>
      </c>
      <c r="E16" s="7" t="inlineStr">
        <is>
          <t>Before (22 Sep spec): 'Both records will state how many lines were created, and the asset row will read "3 lines added" rather than "Lines added"'. Now (14 Oct spec): 'Both records will state how many lines were created' - the asset-row clause is deleted, and the asset row uses the same outcome words as everywhere else ('WO created …' or 'Lines added …'). The tester now sees 'Lines added …' with no count instead of '3 lines added'.</t>
        </is>
      </c>
      <c r="F16" s="7" t="inlineStr">
        <is>
          <t>S7-R8: between 29 Sep 2026 and 13 Oct 2026 (not in the change log)
S5-R9: 29 Sep 2026 (QA contradiction pass answered)</t>
        </is>
      </c>
      <c r="G16" s="7" t="inlineStr">
        <is>
          <t>Both records state how many lines were created, and the asset row reads for example "3 lines added" rather than "Lines added".</t>
        </is>
      </c>
      <c r="H16" s="7" t="inlineStr">
        <is>
          <t>The asset's Inspections tab row shows the outcome without a count: 'Lines added' when the lines went onto the existing work order, or 'WO created' when a new one was created, linking to that work order.</t>
        </is>
      </c>
      <c r="I16" s="7" t="inlineStr">
        <is>
          <t>3. Confirm both state how many lines were created, and the asset row reads e.g. '3 lines added' rather than 'Lines added'.</t>
        </is>
      </c>
      <c r="J16" s="7" t="inlineStr">
        <is>
          <t>1. Open the asset's Inspections tab and find the inspection's row.
2. Check the row reads 'Lines added' (or 'WO created') with no line count, and links to the work order.</t>
        </is>
      </c>
      <c r="K16" s="7" t="inlineStr">
        <is>
          <t>No change-log entry. The 22 Sep spec was inconsistent (another line already said 'Lines added'), and the 22 Sep design showed 'Lines added' with the work order number; the new spec matches the design. The note and the Audit Log entry stating how many lines were created is unchanged and is left out.</t>
        </is>
      </c>
      <c r="L16" s="6">
        <f>HYPERLINK("https://shopview.atlassian.net/wiki/pages/viewpage.action?pageId=768507905","Spec page")</f>
        <v/>
      </c>
    </row>
    <row r="17">
      <c r="A17" s="6">
        <f>HYPERLINK("https://shopview.testrail.io/index.php?/cases/view/88540","C88540")</f>
        <v/>
      </c>
      <c r="B17" s="7" t="inlineStr">
        <is>
          <t>Lines are kept if the note or Audit Log fails, deleted records handled</t>
        </is>
      </c>
      <c r="C17" s="7" t="inlineStr">
        <is>
          <t>Yes</t>
        </is>
      </c>
      <c r="D17" s="7" t="inlineStr">
        <is>
          <t>When the line carrying the inspection is split onto a new work order, the inspection's report note now moves with it, while the build note and Audit Log entry stay on the original.</t>
        </is>
      </c>
      <c r="E17" s="7" t="inlineStr">
        <is>
          <t>Before (22 Sep spec): after a split, 'the note and the Audit Log entry stay on the original. The new work order carries no inspection provenance', so the inspection report note stayed on the original. Now (14 Oct spec) adds: 'The inspection's report notes are not records of the build: when a line with an inspection is split onto a new work order, those notes move with the line and are removed from the original.' After splitting the line that carries the inspection, the report note is on the new work order and gone from the original.</t>
        </is>
      </c>
      <c r="F17" s="7" t="inlineStr">
        <is>
          <t>S7-E4: 6 Oct 2026 (Deleted work orders, removed inspections and splits)
SV-10913: 6 Oct 2026 (Milos Vasic in Jira)</t>
        </is>
      </c>
      <c r="G17" s="7" t="inlineStr">
        <is>
          <t>If the work order is later split, the note and the Audit Log entry stay on the original, and the new work order carries no inspection provenance.</t>
        </is>
      </c>
      <c r="H17" s="7" t="inlineStr">
        <is>
          <t>After a split, the 'built from inspection' note and the Audit Log entry stay on the original work order; the new work order gets neither (unchanged).
When the line that carries the inspection is split onto the new work order, the inspection's report note moves with it: it appears on the new work order's Notes tab and is removed from the original.</t>
        </is>
      </c>
      <c r="I17" s="7" t="inlineStr">
        <is>
          <t>4. Split the work order; confirm the note and Audit Log entry stay on the original and the new work order carries no inspection provenance.</t>
        </is>
      </c>
      <c r="J17" s="7" t="inlineStr">
        <is>
          <t>1. On the work order with the build, select the line that carries the inspection.
2. Split it onto a new work order.
3. Open the original work order's Notes tab and Audit Log.
4. Check the 'built from inspection' note and the Audit Log entry are still there.
5. Check the inspection report note is no longer on the original work order.
6. Open the new work order's Notes tab and Audit Log.
7. Check the inspection report note is there, and there is no 'built from inspection' note or Audit Log entry.</t>
        </is>
      </c>
      <c r="K17" s="7" t="inlineStr">
        <is>
          <t>Decided by the product manager on 6 Oct and written into the spec the same day. Use a fresh split: work orders split before this rule keep their notes where they are. The first expected line is unchanged and kept so the tester can tell the two notes apart.</t>
        </is>
      </c>
      <c r="L17" s="6">
        <f>HYPERLINK("https://shopview.atlassian.net/wiki/pages/viewpage.action?pageId=768507905","Spec page")</f>
        <v/>
      </c>
    </row>
    <row r="18">
      <c r="A18" s="6">
        <f>HYPERLINK("https://shopview.testrail.io/index.php?/cases/view/88542","C88542")</f>
        <v/>
      </c>
      <c r="B18" s="7" t="inlineStr">
        <is>
          <t>ShopCoach drafts lines with no typing, and its instructions are kept</t>
        </is>
      </c>
      <c r="C18" s="7" t="inlineStr">
        <is>
          <t>Yes</t>
        </is>
      </c>
      <c r="D18" s="7" t="inlineStr">
        <is>
          <t>The proposed-lines panel title now names ShopCoach; the 22 Sep spec said ShopCoach is named once, at the destination step, and nowhere else.</t>
        </is>
      </c>
      <c r="E18" s="7" t="inlineStr">
        <is>
          <t>Before (22 Sep spec): 'ShopCoach will be named once, at the step where the destination is chosen, and nowhere else in the flow', so a proposed-lines panel whose title named ShopCoach failed. Now (14 Oct spec): 'ShopCoach is named in the note on the completed inspection card and in the Line Builder panel's existing title', so that title is required.</t>
        </is>
      </c>
      <c r="F18" s="7" t="inlineStr">
        <is>
          <t>S15-R6: between 29 Sep 2026 and 13 Oct 2026 (not in the change log)</t>
        </is>
      </c>
      <c r="G18" s="7" t="inlineStr">
        <is>
          <t>ShopCoach is named once, at the step where the destination is chosen, and nowhere else in the flow.</t>
        </is>
      </c>
      <c r="H18" s="7" t="inlineStr">
        <is>
          <t>The title of the proposed-lines panel (the Line Builder) names ShopCoach.</t>
        </is>
      </c>
      <c r="I18" s="7" t="inlineStr">
        <is>
          <t>3. Confirm ShopCoach is named once, at the destination-choice step, and nowhere else.</t>
        </is>
      </c>
      <c r="J18" s="7" t="inlineStr">
        <is>
          <t>1. Open the completed inspection and press Build lines.
2. Choose a target.
3. Read the title of the proposed-lines panel.
4. Check the title names ShopCoach.</t>
        </is>
      </c>
      <c r="K18" s="7" t="inlineStr">
        <is>
          <t>Not in the change log. Only the panel title is a proven change. ShopCoach being named in the note on the completed inspection card was already required on 22 Sep, and the Build lines label not naming it is unchanged. Whether the destination menu changed depends on how the 22 Sep wording is read (the 22 Sep design already named ShopCoach only in the note), so it is not claimed here.</t>
        </is>
      </c>
      <c r="L18" s="6">
        <f>HYPERLINK("https://shopview.atlassian.net/wiki/pages/viewpage.action?pageId=768507905","Spec page")</f>
        <v/>
      </c>
    </row>
    <row r="19">
      <c r="A19" s="6">
        <f>HYPERLINK("https://shopview.testrail.io/index.php?/cases/view/88548","C88548")</f>
        <v/>
      </c>
      <c r="B19" s="7" t="inlineStr">
        <is>
          <t>ShopCoach with no results, failures, leaving the page and several axles</t>
        </is>
      </c>
      <c r="C19" s="7" t="inlineStr">
        <is>
          <t>Yes</t>
        </is>
      </c>
      <c r="D19" s="7" t="inlineStr">
        <is>
          <t>Two flagged tires on the same row now reach ShopCoach as one finding instead of one per tire, and a draft that fails a second time no longer leaves one empty line per finding.</t>
        </is>
      </c>
      <c r="E19" s="7" t="inlineStr">
        <is>
          <t>Row as one finding: before (22 Sep spec), 'each flagged position reaches ShopCoach with its own axle and row', so two flagged tires on Axle 1 Tire pressure were two findings (two skeleton rows while drafting). Now (14 Oct spec): 'each flagged row reaches ShopCoach as its own finding, with its axle, its row and its flagged positions' - one finding, one skeleton row. Failure: before, 'When the assistant call fails the user is offered a retry, and after a second failure one empty line per finding'. Now: the user 'can try again ... No empty lines are created.' The difference shows only after a second failure: before, one empty line per finding; now none.</t>
        </is>
      </c>
      <c r="F19" s="7" t="inlineStr">
        <is>
          <t>S15-E2: 29 Sep 2026 (QA contradiction pass answered)
S15-E5: 29 Sep 2026 (QA contradiction pass answered)</t>
        </is>
      </c>
      <c r="G19" s="7" t="inlineStr">
        <is>
          <t>If the call to ShopCoach fails, the user is told that it failed, and is never left with an empty panel.
If the same field is flagged on several axles, each flagged position reaches ShopCoach with its own axle and row so they are not collapsed into one line.</t>
        </is>
      </c>
      <c r="H19" s="7" t="inlineStr">
        <is>
          <t>Each flagged measurement row is one finding: two flagged tires on the same row and axle go to ShopCoach as one finding naming the axle, the row and both flagged positions. While drafting there is one skeleton row for that finding, and the proposed line names that row's finding.
If drafting fails, you are told it failed and can try again with Try Again (unchanged).
If it fails again, no empty lines are created and nothing is added to the work order.</t>
        </is>
      </c>
      <c r="I19" s="7" t="inlineStr">
        <is>
          <t>1. Note for the tester: forcing ShopCoach to return nothing or to fail cannot be done by hand — it is a developer/automated check. By hand, if an empty or failed result occurs naturally, confirm the user is told plainly and the work order is unchanged (never a blank panel).
4. Check a field flagged on several axles produces a separate proposed line per flagged position (its own axle and row), not one merged line, and that a Monitor finding appears as a watch item rather than work to do now.</t>
        </is>
      </c>
      <c r="J19" s="7" t="inlineStr">
        <is>
          <t>1. Fill the per-axle field so Axle 1 Tire pressure has two flagged tires (for example left outer and right outer Not OK) and Axle 2 Tire pressure has one.
2. Complete the inspection, press Build lines and choose a target.
3. While drafting, count the skeleton rows: one for each flagged field and one for each flagged row, so Axle 1 Tire pressure, with two flagged tires, adds one row, not two.
4. When the proposed lines arrive, check they name one Axle 1 · Tire pressure finding that lists both flagged tires.
5. If drafting fails, read the message shown and check it says the drafting failed and offers Try Again.
6. Press Try Again; if it fails again, check no empty lines appear and nothing is added to the work order.</t>
        </is>
      </c>
      <c r="K19" s="7" t="inlineStr">
        <is>
          <t>Decided on 29 Sep. Drafting failure cannot be forced by hand, and the difference shows only on a second failure, so that part is a developer or automated check; a tester can check it by hand only if the failure happens on its own (for example when ShopCoach cannot be reached). Being told it failed and offered Try Again was already true on 22 Sep. The spec requires at least one line per finding and does not stop ShopCoach proposing more than one line for a finding, so 'not one line per tire' is not expected. A developer has said one line may cover several findings and that the system adds a plain line for any finding left uncovered; that has no product manager sign-off and sits uneasily with 'no empty lines are created', so it is an open product question and is not part of the expected result. Flagged rows on different axles staying separate is unchanged and is left out.</t>
        </is>
      </c>
      <c r="L19" s="6">
        <f>HYPERLINK("https://shopview.atlassian.net/wiki/pages/viewpage.action?pageId=768507905","Spec page")</f>
        <v/>
      </c>
    </row>
    <row r="20">
      <c r="A20" s="6">
        <f>HYPERLINK("https://shopview.testrail.io/index.php?/cases/view/88571","C88571")</f>
        <v/>
      </c>
      <c r="B20" s="7" t="inlineStr">
        <is>
          <t>Deleting the last section or the selected field, long names, live preview</t>
        </is>
      </c>
      <c r="C20" s="7" t="inlineStr">
        <is>
          <t>No</t>
        </is>
      </c>
      <c r="D20" s="7" t="inlineStr">
        <is>
          <t>Long names are now cut with '…' and show the full name when you hover over them.</t>
        </is>
      </c>
      <c r="E20" s="7" t="inlineStr">
        <is>
          <t>The spec line is the same in both versions: 'A very long field or section name is shortened in the canvas, the outline and the properties panel rather than breaking the layout.' The later decision is the designer's, on 12 Oct: 'Let's truncate text with "…" and show tooltip on hover which displays full text', built on 12-13 Oct ('Builder: field rows, section heading and outline names end with "…" with the full name on hover'). Hovering over a shortened name: before, nothing was required; now a tooltip shows the full name. Neither the 22 Sep spec nor the 22 Sep design has a full-name tooltip.</t>
        </is>
      </c>
      <c r="F20" s="7" t="inlineStr">
        <is>
          <t>SV-11103: 12 Oct 2026 (Branko Cicovic (designer) in Jira)</t>
        </is>
      </c>
      <c r="G20" s="7" t="inlineStr">
        <is>
          <t>A very long field or section name is shortened in the canvas, the outline and the properties panel rather than breaking the layout.</t>
        </is>
      </c>
      <c r="H20" s="7" t="inlineStr">
        <is>
          <t>A very long field or section name is shortened with '…' on the canvas and in the outline, without breaking the layout (unchanged).
Hovering over a shortened name - a field row or section heading on the canvas, or a name in the outline - shows the full name in a tooltip.</t>
        </is>
      </c>
      <c r="I20" s="7" t="inlineStr">
        <is>
          <t>3. Confirm a very long field or section name is shortened in the canvas, the outline and the properties panel rather than breaking the layout.</t>
        </is>
      </c>
      <c r="J20" s="7" t="inlineStr">
        <is>
          <t>1. Give a field and a section very long names.
2. Check each is shortened with '…' on the canvas and in the outline.
3. Hover over the shortened field name on the canvas.
4. Check a tooltip shows the full name.
5. Hover over the shortened section heading on the canvas.
6. Check a tooltip shows the full name.
7. Hover over the shortened name in the outline.
8. Check a tooltip shows the full name.</t>
        </is>
      </c>
      <c r="K20" s="7" t="inlineStr">
        <is>
          <t>Designer-only source: the tooltip was decided by the designer on 12 Oct and built on 12-13 Oct. The 14 Oct spec still says only 'shortened', and no product manager sign-off is recorded (he was only copied). It adds to the old expectation rather than contradicting it; consider asking the product owner to confirm it. The decision does not mention the properties panel, so no tooltip is expected there.</t>
        </is>
      </c>
      <c r="L20" s="6">
        <f>HYPERLINK("https://shopview.atlassian.net/browse/SV-11103","Jira")</f>
        <v/>
      </c>
    </row>
    <row r="21">
      <c r="A21" s="6">
        <f>HYPERLINK("https://shopview.testrail.io/index.php?/cases/view/88572","C88572")</f>
        <v/>
      </c>
      <c r="B21" s="7" t="inlineStr">
        <is>
          <t>What the customer report says, and what it no longer shows</t>
        </is>
      </c>
      <c r="C21" s="7" t="inlineStr">
        <is>
          <t>Yes</t>
        </is>
      </c>
      <c r="D21" s="7" t="inlineStr">
        <is>
          <t>The report now prints each axle as one block with the axle's result in its header and no per-row status column, with icons as well as colour.</t>
        </is>
      </c>
      <c r="E21" s="7" t="inlineStr">
        <is>
          <t>Before (22 Sep spec): 'A per-axle field will print each row's values per position, with a status column carrying the row's derived verdict.' Now (14 Oct spec): 'A per-axle field will print one block per axle, never split across a page: each row's values per position, and the axle's result in the axle header. The sub-tables are headed by scope, 'OUTER + INNER' and '1 PER SIDE'. A flagged value carries ... a triangle for Needs attention and a clock for Monitor, as well as its colour ... A position nobody measured prints a grey dash. There is no per-row status column.' The report now has no status column, shows the result in each axle header, and adds the icons, the scope headings and the grey dash.</t>
        </is>
      </c>
      <c r="F21" s="7" t="inlineStr">
        <is>
          <t>S13-R0: 5 Oct 2026 (Developer and QA questions answered)</t>
        </is>
      </c>
      <c r="G21" s="7" t="inlineStr">
        <is>
          <t>A per-axle field prints each row's values per position, with a status column carrying the row's derived verdict.</t>
        </is>
      </c>
      <c r="H21" s="7" t="inlineStr">
        <is>
          <t>A per-axle field prints one block per axle, never split across a page.
Each block shows each row's values per position, and the axle's result in the axle header, in the report's words: ATTENTION, MONITOR or PASS (this wording itself is unchanged; the report already never printed Not OK).
There is no status column per row.
The sub-tables are headed 'OUTER + INNER' and '1 PER SIDE'.
A flagged value carries an icon as well as its colour: a triangle for Needs attention, a clock for Monitor.
A position nobody measured prints a grey dash.</t>
        </is>
      </c>
      <c r="I21" s="7" t="inlineStr">
        <is>
          <t>1. Confirm a per-axle field prints each row's values per position with a status column carrying the row's derived verdict.</t>
        </is>
      </c>
      <c r="J21" s="7" t="inlineStr">
        <is>
          <t>1. Make sure the per-axle field has a tire row on 'Outer + inner', a row on '1 per side', Monitor and Not OK values, at least one empty position, and enough axles that the field runs past the first page of the report (for example 8).
2. Open the inspection's report.
3. Check each axle prints as one block that is not split across pages.
4. Check each axle header shows the axle's result as ATTENTION, MONITOR or PASS (unchanged wording), and there is no status column per row.
5. Check the sub-tables are headed 'OUTER + INNER' and '1 PER SIDE'.
6. Check each flagged value has a triangle (Needs attention) or a clock (Monitor) as well as its colour.
7. Check the empty position prints a grey dash.</t>
        </is>
      </c>
      <c r="K21" s="7" t="inlineStr">
        <is>
          <t>The change is the layout: one block per axle with the axle's result in its header, no per-row status column, icons as well as colour, and a grey dash for unmeasured positions (decided 5 Oct). The result words ATTENTION, MONITOR and PASS are not new. The 22 Sep design brief also planned a per-row status column, so the old expectation was consistent across sources.</t>
        </is>
      </c>
      <c r="L21" s="6">
        <f>HYPERLINK("https://shopview.atlassian.net/wiki/pages/viewpage.action?pageId=768507905","Spec page")</f>
        <v/>
      </c>
    </row>
    <row r="22">
      <c r="A22" s="6">
        <f>HYPERLINK("https://shopview.testrail.io/index.php?/cases/view/88575","C88575")</f>
        <v/>
      </c>
      <c r="B22" s="7" t="inlineStr">
        <is>
          <t>The customer report stays correct when regenerated or republished</t>
        </is>
      </c>
      <c r="C22" s="7" t="inlineStr">
        <is>
          <t>No</t>
        </is>
      </c>
      <c r="D22" s="7" t="inlineStr">
        <is>
          <t>Regenerating a report must now keep the first-completion inspected date and must not post another note on the work order.</t>
        </is>
      </c>
      <c r="E22" s="7" t="inlineStr">
        <is>
          <t>The 22 Sep spec only said 'The inspected date will show without a time' and said nothing about notes when a report is regenerated. Now (14 Oct spec): 'The inspected date is the date the inspection was first completed. Regenerating a report does not move it' and 'Regenerating a report does not post another note on the work order.' After a regenerate the tester must now find the same number of report notes and the same inspected date.</t>
        </is>
      </c>
      <c r="F22" s="7" t="inlineStr">
        <is>
          <t>S13-R14: 5 Oct 2026 (Developer and QA questions answered)
S13-R15: 5 Oct 2026 (Developer and QA questions answered)</t>
        </is>
      </c>
      <c r="G22" s="7" t="inlineStr">
        <is>
          <t>Regenerating a report produces a new version rather than replacing the previous one, every link resolves to the most recent, and earlier versions remain retrievable so a report already handed to a customer cannot change.</t>
        </is>
      </c>
      <c r="H22" s="7" t="inlineStr">
        <is>
          <t>Regenerating a report does not post another note on the work order.
Regenerating does not change the inspected date: it stays the date the inspection was first completed.</t>
        </is>
      </c>
      <c r="I22" s="7" t="inlineStr">
        <is>
          <t>1. Regenerate the report and confirm a new version is produced rather than replacing the previous one, every link resolves to the most recent, and earlier versions remain retrievable so a report already handed to a customer cannot change.</t>
        </is>
      </c>
      <c r="J22" s="7" t="inlineStr">
        <is>
          <t>1. Open a completed inspection that was first completed on an earlier day (for example yesterday) and has not been reopened since.
2. Note the inspected date on its report.
3. Count the inspection report notes on the work order's Notes tab.
4. Regenerate the report.
5. Check no new note was added to the Notes tab.
6. Open the report (View PDF) and check it shows the same inspected date as before.</t>
        </is>
      </c>
      <c r="K22" s="7" t="inlineStr">
        <is>
          <t>Added requirement - the 22 Sep spec was silent on both points, so these are new requirements, not reversed ones. Decided by the product manager on 5 Oct in answer to questions raised during the build. Nothing shows whether the product already behaved this way. A new version being produced, every link opening the newest version, the existing note pointing at the newest version and earlier versions staying retrievable are unchanged and are left out.</t>
        </is>
      </c>
      <c r="L22" s="6">
        <f>HYPERLINK("https://shopview.atlassian.net/wiki/pages/viewpage.action?pageId=768507905","Spec page")</f>
        <v/>
      </c>
    </row>
    <row r="23">
      <c r="A23" s="6">
        <f>HYPERLINK("https://shopview.testrail.io/index.php?/cases/view/88578","C88578")</f>
        <v/>
      </c>
      <c r="B23" s="7" t="inlineStr">
        <is>
          <t>On a phone: reference files, outstanding work and the back button</t>
        </is>
      </c>
      <c r="C23" s="7" t="inlineStr">
        <is>
          <t>No</t>
        </is>
      </c>
      <c r="D23" s="7" t="inlineStr">
        <is>
          <t>Selecting an outstanding item now goes to that item's field, and a separate 'Go to the first one' action goes to the first.</t>
        </is>
      </c>
      <c r="E23" s="7" t="inlineStr">
        <is>
          <t>Before (22 Sep spec): 'Selecting an outstanding item will move to the first field that still needs an answer, rather than to a summary of what is missing.' Now (14 Oct spec): 'Selecting an outstanding item will move to that field. A 'Go to the first one' action moves to the first item in the list.' Selecting the third item: before, the tester landed on the first unanswered field; now on that item's own field, and a 'Go to the first one' action appears.</t>
        </is>
      </c>
      <c r="F23" s="7" t="inlineStr">
        <is>
          <t>S14-R7: between 29 Sep 2026 and 13 Oct 2026 (not in the change log)</t>
        </is>
      </c>
      <c r="G23" s="7" t="inlineStr">
        <is>
          <t>Selecting an outstanding item moves to the first field that still needs an answer, rather than to a summary of what is missing.</t>
        </is>
      </c>
      <c r="H23" s="7" t="inlineStr">
        <is>
          <t>Selecting an outstanding item moves to that item's own field, not to the first unanswered field.
A 'Go to the first one' action moves to the first item in the list.</t>
        </is>
      </c>
      <c r="I23" s="7" t="inlineStr">
        <is>
          <t>3. Select an outstanding item and confirm it moves to the first field that still needs an answer, not to a summary of what is missing.</t>
        </is>
      </c>
      <c r="J23" s="7" t="inlineStr">
        <is>
          <t>1. On the phone, leave at least three required fields unanswered, in different sections.
2. Press 'Submit &amp; Generate Report' to open the list of outstanding items.
3. Select the third item in the list.
4. Check the screen moves to that item's field.
5. Open the list again and press 'Go to the first one'.
6. Check the screen moves to the first item in the list.</t>
        </is>
      </c>
      <c r="K23" s="7" t="inlineStr">
        <is>
          <t>Not in the change log. The 22 Sep follow-up design already showed selecting a row going to that field and a 'Go to the first one' action, but the 22 Sep spec and user story said the first unfilled field, and the case followed the spec.</t>
        </is>
      </c>
      <c r="L23" s="6">
        <f>HYPERLINK("https://shopview.atlassian.net/wiki/pages/viewpage.action?pageId=768507905","Spec page")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34" customWidth="1" min="3" max="3"/>
    <col width="40" customWidth="1" min="4" max="4"/>
    <col width="46" customWidth="1" min="5" max="5"/>
    <col width="46" customWidth="1" min="6" max="6"/>
    <col width="13" customWidth="1" min="7" max="7"/>
    <col width="30" customWidth="1" min="8" max="8"/>
  </cols>
  <sheetData>
    <row r="1">
      <c r="A1" s="5" t="inlineStr">
        <is>
          <t>Proposed new test case</t>
        </is>
      </c>
      <c r="B1" s="5" t="inlineStr">
        <is>
          <t>Why it is needed (which change)</t>
        </is>
      </c>
      <c r="C1" s="5" t="inlineStr">
        <is>
          <t>Spec rule or decision, and when it changed</t>
        </is>
      </c>
      <c r="D1" s="5" t="inlineStr">
        <is>
          <t>Preconditions</t>
        </is>
      </c>
      <c r="E1" s="5" t="inlineStr">
        <is>
          <t>Steps</t>
        </is>
      </c>
      <c r="F1" s="5" t="inlineStr">
        <is>
          <t>Expected behaviour</t>
        </is>
      </c>
      <c r="G1" s="5" t="inlineStr">
        <is>
          <t>Next to existing case</t>
        </is>
      </c>
      <c r="H1" s="5" t="inlineStr">
        <is>
          <t>Note</t>
        </is>
      </c>
    </row>
    <row r="2">
      <c r="A2" s="7" t="inlineStr">
        <is>
          <t>New template from a starter: Photo required if Not OK is off</t>
        </is>
      </c>
      <c r="B2" s="7" t="inlineStr">
        <is>
          <t>'Photo required if Not OK' changed from on (22 Sep Key Decision: on by default for newly created templates) to off, starters included (S17-R2). No case opens a starter and reads the photo option: the existing cases check it only on a checkbox field added by hand. Note required was already on for starters on 22 Sep (same Key Decision); v43 only adds the words "starters included", so step 4 is an unchanged-behaviour check, not a change.</t>
        </is>
      </c>
      <c r="C2" s="7" t="inlineStr">
        <is>
          <t>S17-R2: between 29 Sep 2026 and 2 Oct 2026 (Not named in the change log; Jira SV-10789 (2 Oct 2026) already quotes the new text)
SV-9440: 2 Oct 2026 (Story description rewritten from 'On by default' to 'OFF by default' by Milos Vasic (PM); SV-10789 (Viktoria Videnovic, 2 Oct; fixed 5 Oct) is the defect history, not the decision)
S1-R2: between 29 Sep 2026 and 13 Oct 2026 (Clarification only - the 22 Sep Key Decision already made it on by default for newly created templates (starters are newly created templates); kept as an unchanged-behaviour check)</t>
        </is>
      </c>
      <c r="D2" s="7" t="inlineStr">
        <is>
          <t>You are signed in on a desktop as a user with 'Settings - Service'.
The starter templates are offered when you create a new template (for example Air-Brake Inspection and Trailer Inspection).</t>
        </is>
      </c>
      <c r="E2" s="7" t="inlineStr">
        <is>
          <t>1. Go to Settings &gt; Inspection Templates and create a new template.
2. Choose to start from a template and pick a starter (for example Air-Brake Inspection).
3. Select a checkbox field that came with the starter.
4. Read the 'Note required if Monitor / Not OK' option in its properties.
5. Read the 'Photo required if Not OK' option in its properties.
6. Create another new template from a different starter (for example Trailer Inspection) and repeat steps 3 to 5.</t>
        </is>
      </c>
      <c r="F2" s="7" t="inlineStr">
        <is>
          <t>Step 4: 'Note required if Monitor / Not OK' is on for the starter's checkbox field.
Step 5: 'Photo required if Not OK' is off for the starter's checkbox field.
Step 6: the second starter's checkbox field shows the same: 'Note required if Monitor / Not OK' on and 'Photo required if Not OK' off.</t>
        </is>
      </c>
      <c r="G2" s="6">
        <f>HYPERLINK("https://shopview.testrail.io/index.php?/cases/view/88507","C88507")</f>
        <v/>
      </c>
      <c r="H2" s="7" t="inlineStr">
        <is>
          <t>Verdict FIX, every correction applied: justified by the photo default only (S17-R2, product decision SV-9440 by Milos Vasic, 2 Oct); the note check (step 4) is kept as an unchanged-behaviour check, labelled as a clarification and not a change. Hand-added checkbox fields are already covered by C88507 and C88510; this test covers only fields that come with a starter. Always start a brand-new template: templates saved before the 5 Oct fix keep the setting they were saved with (SV-10789).</t>
        </is>
      </c>
    </row>
    <row r="3">
      <c r="A3" s="7" t="inlineStr">
        <is>
          <t>Completing a reopened inspection again gives the report a new inspected date</t>
        </is>
      </c>
      <c r="B3" s="7" t="inlineStr">
        <is>
          <t>New in the spec: the inspected date is the first completion date and only reopening and completing again gives a new date; the updated regenerate case checks that regenerating keeps the date, but nothing checks that completing again changes it.</t>
        </is>
      </c>
      <c r="C3" s="7" t="inlineStr">
        <is>
          <t>S13-R14: 5 Oct 2026 (Developer and QA questions answered)</t>
        </is>
      </c>
      <c r="D3" s="7" t="inlineStr">
        <is>
          <t>You are signed in with 'Work order lines - Create &amp; Edit' and 'Work orders - View'.
A completed inspection on an open work order, with its report, first completed at least one day before you run this test (for example yesterday). A completion date cannot be set by hand, so the inspection must be completed on an earlier day.</t>
        </is>
      </c>
      <c r="E3" s="7" t="inlineStr">
        <is>
          <t>1. Open the inspection's report and note the inspected date.
2. Open the completed inspection and reopen it.
3. Change one answer.
4. Press 'Submit &amp; Generate Report' and finish the sign-off.
5. Open the newest report from the inspection report note on the work order.
6. Read the inspected date.</t>
        </is>
      </c>
      <c r="F3" s="7" t="inlineStr">
        <is>
          <t>Step 1: the inspected date is the day the inspection was first completed (for example yesterday).
Step 6: the newest report shows today's date as the inspected date, so it can be told apart from the earlier version.</t>
        </is>
      </c>
      <c r="G3" s="6">
        <f>HYPERLINK("https://shopview.testrail.io/index.php?/cases/view/88575","C88575")</f>
        <v/>
      </c>
      <c r="H3" s="7" t="inlineStr">
        <is>
          <t>Verdict KEEP. Small note applied: the inspection must be completed at least a day before the run, because a tester cannot back-date a completion. The reopen-gives-new-date half may be how the product already behaved, but it was never written down before 5 Oct, so it is a spec addition with no case. No ShopCoach needed.</t>
        </is>
      </c>
    </row>
    <row r="4">
      <c r="A4" s="7" t="inlineStr">
        <is>
          <t>Changing or merging the asset does not regenerate the inspection report</t>
        </is>
      </c>
      <c r="B4" s="7" t="inlineStr">
        <is>
          <t>The PM decided on 8 Oct, after the spec, that an asset change or merge never regenerates existing reports and that a manual regenerate takes the work order's current asset with the inspected date unchanged; this is not yet in the PRD and no case checks it, so a build that silently regenerates would pass.</t>
        </is>
      </c>
      <c r="C4" s="7" t="inlineStr">
        <is>
          <t>SV-10960: 8 Oct 2026 (Milos Vasic (PM) in Jira; not yet in PRD v43 ('I'll add this to the PRD'))
S13-R14: 5 Oct 2026 (Developer and QA questions answered (the inspected date the PM's ruling refers to))</t>
        </is>
      </c>
      <c r="D4" s="7" t="inlineStr">
        <is>
          <t>You are signed in with 'Work orders - Create &amp; Edit' and 'Customers - View', and you can edit the customer's assets.
You can regenerate an inspection report. No source names the regenerate control or the role that grants it: read both off the build and write them here before running.
A customer with three assets: asset A (for example unit 1001), asset B (for example unit 2002) and asset C (for example unit 3003). Asset C has a VIN; write it down.
An open work order on asset A with a completed inspection and its report, first completed at least one day before you run this test (for example yesterday).</t>
        </is>
      </c>
      <c r="E4" s="7" t="inlineStr">
        <is>
          <t>1. Open the report from the inspection report note on the work order and note the asset and the inspected date it shows.
2. On the work order, change the asset from asset A to asset B and save.
3. Open the report from the inspection report note again.
4. Regenerate the report.
5. Open the report from the inspection report note.
6. Open asset B, change its VIN to asset C's VIN, save, and answer Yes to 'Would you like to merge with the already existing asset?'.
7. Open the report from the inspection report note again.</t>
        </is>
      </c>
      <c r="F4" s="7" t="inlineStr">
        <is>
          <t>Step 1: the report shows asset A and the inspected date (for example yesterday's date).
Step 3: the report still shows asset A; changing the work order's asset did not change it.
Step 5: the report now shows asset B, the work order's current asset.
Step 5: the inspected date is the same as in step 1.
Step 7: the report still shows asset B, as in step 5; the merge did not change it.</t>
        </is>
      </c>
      <c r="G4" s="6">
        <f>HYPERLINK("https://shopview.testrail.io/index.php?/cases/view/88575","C88575")</f>
        <v/>
      </c>
      <c r="H4" s="7" t="inlineStr">
        <is>
          <t>Verdict FIX, every correction applied: the asset-edit right is added (step 6 edits a VIN and confirms the merge, which 'Customers - View' alone cannot do); the regenerate control and the role that grants it are left for the build to name, because the spec names neither and no permission is invented; asset C's VIN is a precondition; step 3 now checks only what the report shows (a tester cannot see a version list, and the spec does not say where earlier versions are listed). Divergence to disclose in the case: this rests on Milos Vasic's SV-10960 ruling of 8 Oct, which he said he would add to the PRD; v43 (13 Oct) does not carry it. The merge route (VIN edit, answer Yes) is the one documented on SV-10965 (Stefan Vukovic, 8 Oct, step 9). Shares its source with 'A kept inspection follows its work order's asset at deletion and on merge'.</t>
        </is>
      </c>
    </row>
    <row r="5">
      <c r="A5" s="7" t="inlineStr">
        <is>
          <t>A new work order stays, empty, when its drafting is cancelled</t>
        </is>
      </c>
      <c r="B5" s="7" t="inlineStr">
        <is>
          <t>New in the spec: a new work order is created as soon as it is chosen and stays, empty, when drafting is cancelled or the user leaves; nothing is deleted automatically. 'The inspection stays needing action' and 'no build note is written' were already 22 Sep behaviour (a drafted-then-abandoned build leaves the findings unactioned; the note is written only when lines land) and are re-checked here only because they sit in the same flow. The existing cases check cancelling only on the inspection's own work order, never on a new one.</t>
        </is>
      </c>
      <c r="C5" s="7" t="inlineStr">
        <is>
          <t>S15-E7: between 29 Sep 2026 and 2 Oct 2026 (Not named in the change log; written into the PRD by Milos Vasic (PM); Jira SV-10792 (2 Oct 2026) already quotes the new text)</t>
        </is>
      </c>
      <c r="D5" s="7" t="inlineStr">
        <is>
          <t>The shop has ShopCoach and at least one labor type.
You are signed in with 'Work order lines - Create &amp; Edit', 'Work orders - Create &amp; Edit', 'Customers - View' and 'Work orders - View'.
A completed inspection with a Not OK finding that you completed on this build and that has not been built from, so its row on the asset's Inspections tab offers the build action.</t>
        </is>
      </c>
      <c r="E5" s="7" t="inlineStr">
        <is>
          <t>1. Open the completed inspection.
2. Press Build lines and choose A new work order.
3. Note the new work order's number (for example S1-2301).
4. While the lines are still drafting, press Cancel.
5. Open the new work order's Lines tab and Notes tab.
6. Open the asset's Inspections tab and find the inspection's row.
7. Open the completed inspection again.</t>
        </is>
      </c>
      <c r="F5" s="7" t="inlineStr">
        <is>
          <t>Step 2: the new work order is created at once and you land on its Lines tab.
Step 5: the new work order still exists, with no lines added; it was not deleted.
Step 5: there is no note saying lines were built from the inspection.
Step 6: the row still offers the build action and is counted in 'N of M have findings with no lines yet'.
Step 7: the completed inspection still offers Build lines.</t>
        </is>
      </c>
      <c r="G5" s="6">
        <f>HYPERLINK("https://shopview.testrail.io/index.php?/cases/view/88543","C88543")</f>
        <v/>
      </c>
      <c r="H5" s="7" t="inlineStr">
        <is>
          <t>Verdict FIX, every correction applied. The retry step is removed from the manual test: 'a retry runs on the same work order' needs a drafting failure, which cannot be forced by hand, so it needs automation (AUTOMATION: HOLD - drafting failure cannot be forced by hand). why_needed now separates the 22 Sep behaviour from the new part. If the drafting finishes before you can press Cancel, start again with a fresh inspection; the rule also covers leaving the page while drafting runs. Needs a working ShopCoach build flow: run on Staging (the QA environment is blocked for this, SV-11084).</t>
        </is>
      </c>
    </row>
    <row r="6">
      <c r="A6" s="7" t="inlineStr">
        <is>
          <t>Drafted lines come from the note, not from the photo</t>
        </is>
      </c>
      <c r="B6" s="7" t="inlineStr">
        <is>
          <t>New since 22 Sep: on 22 Sep photographs reached ShopCoach in the brief; now photos are not sent and the technician's note is the only evidence it reads. No case checks that a photo does not shape the proposed lines.</t>
        </is>
      </c>
      <c r="C6" s="7" t="inlineStr">
        <is>
          <t>S15-N6: between 29 Sep 2026 and 13 Oct 2026 (Not in the change log; written into the PRD by Milos Vasic (PM))
Key Decision: measured values reach ShopCoach in the brief; photos are not sent: between 29 Sep 2026 and 13 Oct 2026 (Not in the change log; replaces the 22 Sep decision 'Measured values and photographs reach ShopCoach in the brief')</t>
        </is>
      </c>
      <c r="D6" s="7" t="inlineStr">
        <is>
          <t>The shop has ShopCoach and at least one labor type.
You are signed in with 'Work order lines - Create &amp; Edit'.
A template with two checkbox fields (for example Wipers and Lights). On Lights, 'Note required if Monitor / Not OK' is turned off.
An inspection from that template on an open work order, completed with: Wipers answered Not OK, with the note 'Left wiper blade torn' and a photo of something else (for example a cracked mirror); and Lights answered Not OK, with a photo of something distinctive (for example a flat tire) and no note.</t>
        </is>
      </c>
      <c r="E6" s="7" t="inlineStr">
        <is>
          <t>1. Open the completed inspection.
2. Press Build lines and choose This work order.
3. Wait for the proposed lines.
4. Read the proposed line for Wipers.
5. Read the proposed line for Lights.</t>
        </is>
      </c>
      <c r="F6" s="7" t="inlineStr">
        <is>
          <t>Step 4: the Wipers line is about the torn wiper blade from the note; it does not mention the cracked mirror, which is only in the photo.
Step 5: Lights still has a proposed line, and it does not mention the flat tire, which is only in the photo.</t>
        </is>
      </c>
      <c r="G6" s="6">
        <f>HYPERLINK("https://shopview.testrail.io/index.php?/cases/view/88541","C88541")</f>
        <v/>
      </c>
      <c r="H6" s="7" t="inlineStr">
        <is>
          <t>Verdict FIX, every correction applied: 'Note required if Monitor / Not OK' is turned off on Lights (it is on by default for new checkbox fields, so otherwise the inspection could not be submitted with no note); the Lights photo now shows something distinctive so the tester can judge the result. This is a falsification check: a line that mentions the mirror or the flat tire proves a photo was read, but a clean result cannot prove the negative on its own. The expectation may move: the S15 status panel in PRD v43 says the Key Decisions on the brief are provisional and that, until the new inspection line builder lands, builds use the existing ShopCoach line builder assistant; the photo decision is one of them. Needs ShopCoach: run on Staging (SV-11084).</t>
        </is>
      </c>
    </row>
    <row r="7">
      <c r="A7" s="7" t="inlineStr">
        <is>
          <t>Original work order deleted after a build: its number shows as plain text</t>
        </is>
      </c>
      <c r="B7" s="7" t="inlineStr">
        <is>
          <t>The spec now says that when the work order the inspection was run on is deleted after a build onto a new work order, the build note and the Audit Log entry show its number as text with no link; the note and Audit Log cases never delete a work order.</t>
        </is>
      </c>
      <c r="C7" s="7" t="inlineStr">
        <is>
          <t>S7-R2: 7 Oct 2026 (Deleted work order after a build)
S7-R5: 7 Oct 2026 (Deleted work order after a build)</t>
        </is>
      </c>
      <c r="D7" s="7" t="inlineStr">
        <is>
          <t>The shop has ShopCoach and at least one labor type.
You are signed in with 'Work order lines - Create &amp; Edit', 'Work orders - Create &amp; Edit' and 'View History Logs', and you can delete work orders.
A completed inspection with a Not OK finding, on a work order you can delete (for example S1-2252).</t>
        </is>
      </c>
      <c r="E7" s="7" t="inlineStr">
        <is>
          <t>1. Open the completed inspection, press Build lines and choose A new work order.
2. Wait for the proposed lines and press Add Lines.
3. Note the new work order's number (for example S1-2301).
4. Delete the original work order (S1-2252 in the example).
5. Open the new work order's Notes tab and find the note saying the lines were built from the inspection.
6. Open the new work order's Audit Log and find the 'Built from inspection' entry.</t>
        </is>
      </c>
      <c r="F7" s="7" t="inlineStr">
        <is>
          <t>Step 5: the note shows the original work order's number as plain text, tagged 'Work order deleted', with no link.
Step 6: the Audit Log entry shows the original work order's number as plain text, with no link.</t>
        </is>
      </c>
      <c r="G7" s="6">
        <f>HYPERLINK("https://shopview.testrail.io/index.php?/cases/view/88537","C88537")</f>
        <v/>
      </c>
      <c r="H7" s="7" t="inlineStr">
        <is>
          <t>Verdict KEEP, copied as is. The tag appears only on the note, not on the Audit Log entry, exactly as the spec words it. Building onto a new work order needs ShopCoach: run on Staging (SV-11084).</t>
        </is>
      </c>
    </row>
    <row r="8">
      <c r="A8" s="7" t="inlineStr">
        <is>
          <t>A kept inspection follows its work order's asset at deletion and on merge</t>
        </is>
      </c>
      <c r="B8" s="7" t="inlineStr">
        <is>
          <t>PRD v43 says a kept inspection uses its stored asset, but the PM's later decision (8 Oct, not yet in the PRD) says it takes the asset the work order has when it is deleted, and merges then move it; no case changes the asset before deleting, merges a kept inspection, or checks its photos survive.</t>
        </is>
      </c>
      <c r="C8" s="7" t="inlineStr">
        <is>
          <t>SV-10960: 8 Oct 2026 (Milos Vasic (PM) in Jira; not yet in PRD v43 ('I'll add this to the PRD'))
S5-R21: 7 Oct 2026 (Deleted work order: outcome, footer, reopened, merge (SV-10965))
S5-E3: 6 Oct 2026 (Deleted work orders, removed inspections and splits)</t>
        </is>
      </c>
      <c r="D8" s="7" t="inlineStr">
        <is>
          <t>You are signed in with 'Customers - View', 'Work orders - View' and 'Work orders - Create &amp; Edit', and you can delete work orders and edit assets.
A customer with three assets: asset A (for example unit 1001), asset B (for example unit 2002) and asset C (for example unit 3003). Asset C has a VIN; write it down.
A work order on asset A with a completed inspection and its report; one answer in it carries a photo.</t>
        </is>
      </c>
      <c r="E8" s="7" t="inlineStr">
        <is>
          <t>1. On the work order, change the asset from asset A to asset B and save.
2. Delete the work order.
3. Open asset B's Inspections tab.
4. Open asset A's Inspections tab.
5. On asset B's tab, open the kept inspection and look at the answer that had a photo.
6. Open asset B, change its VIN to asset C's VIN, save, and answer Yes to 'Would you like to merge with the already existing asset?'.
7. Open asset C's Inspections tab.</t>
        </is>
      </c>
      <c r="F8" s="7" t="inlineStr">
        <is>
          <t>Step 3: the inspection is listed on asset B, the asset the work order had when it was deleted, with a dash in the Work order column.
Step 4: the inspection is not listed on asset A.
Step 5: the inspection opens read-only and the photo is still there.
Step 7: the inspection is listed on asset C, which survives the merge because asset B's VIN was changed to asset C's.</t>
        </is>
      </c>
      <c r="G8" s="6">
        <f>HYPERLINK("https://shopview.testrail.io/index.php?/cases/view/88532","C88532")</f>
        <v/>
      </c>
      <c r="H8" s="7" t="inlineStr">
        <is>
          <t>Verdict FIX, every correction applied. Divergence to disclose in the case: PRD v43 S5-R21 still reads "When the work order has been deleted, the stored asset is used (S5-E3)"; expected steps 3-4 follow Milos Vasic's later SV-10960 ruling (8 Oct), which he said he would add to the PRD but v43 (13 Oct, an S15-only edit) does not carry. Latest wins, so the case follows the ruling; ask the PM to update S5-R21. Expected step 7 now names the asset that survives the merge. Step 5 follows v43 S5-E3 (a kept inspection is a read-only record; deleting the work order must not delete its photos). Built on sv8181 per SV-10965 (Stefan Vukovic, 8 Oct, steps 8-9); the VIN edit + Yes merge route is documented there.</t>
        </is>
      </c>
    </row>
    <row r="9">
      <c r="A9" s="7" t="inlineStr">
        <is>
          <t>Anyone who can open the inspection can open its reference and follow-up files</t>
        </is>
      </c>
      <c r="B9" s="7" t="inlineStr">
        <is>
          <t>The spec changed on 29 Sep: opening a reference file or a follow-up file no longer needs 'Work Orders — View'; anyone who can view the inspection can open them. The file cases are all run by a user who has that permission.</t>
        </is>
      </c>
      <c r="C9" s="7" t="inlineStr">
        <is>
          <t>S11 prerequisites: 29 Sep 2026 (QA contradiction pass answered (Milos Vasic, PM: 'Reference files open for anyone who can view the inspection.'))
S19 prerequisites: 29 Sep 2026 (QA contradiction pass answered (Milos Vasic, PM))</t>
        </is>
      </c>
      <c r="D9" s="7" t="inlineStr">
        <is>
          <t>A published template with a checkbox field (for example Brakes) that carries a general reference file (for example brake-procedure.pdf) and, with 'Add follow-up to a response' on, a Not OK follow-up with an attached file (for example adjust-slack.pdf).
The template is added to a line on an open work order, and the inspection is not yet submitted.
A user whose role does not include 'Work orders - View'. Set the role under Settings - Staff / Roles.
Check before running: signed in as that user, you can reach and open the inspection. If you cannot, stop: this test cannot be run on this build. Report it to the QA lead.</t>
        </is>
      </c>
      <c r="E9" s="7" t="inlineStr">
        <is>
          <t>1. Sign in as that user and open the inspection.
2. Click the reference file's name on Brakes.
3. Close the viewer.
4. Answer Brakes Not OK.
5. Click the follow-up file's name.</t>
        </is>
      </c>
      <c r="F9" s="7" t="inlineStr">
        <is>
          <t>Step 2: the reference file opens in the viewer, although the user does not have 'Work orders - View'.
Step 5: the follow-up file opens in the viewer, although the user does not have 'Work orders - View'.</t>
        </is>
      </c>
      <c r="G9" s="6">
        <f>HYPERLINK("https://shopview.testrail.io/index.php?/cases/view/88558","C88558")</f>
        <v/>
      </c>
      <c r="H9" s="7" t="inlineStr">
        <is>
          <t>Verdict FIX, correction applied: the earlier role example ('a technician role with Work Order Lines - Create &amp; Edit only') was an assumption, not a source fact, and is removed. Before this test ships, prove on the build that a user without 'Work orders - View' can reach and open an inspection at all (inspections are opened from a work order's line; the spec names no route that avoids viewing the work order). If no such user can open an inspection, the precondition is unreachable and the change has nothing a tester can observe: drop the test and tell the QA lead. Answering Not OK without submitting is fine even with the default note rule on. File names are links, with no separate Open or View button.</t>
        </is>
      </c>
    </row>
    <row r="10">
      <c r="A10" s="7" t="inlineStr">
        <is>
          <t>Long names end with '…' and show the full name on hover</t>
        </is>
      </c>
      <c r="B10" s="7" t="inlineStr">
        <is>
          <t>The designer decided on 12 Oct that long names are cut with '…' and show the full name on hover; the updated builder case covers only the builder, so the fill screen, the work order row, Start Inspection, the completed screen and the asset tab are not checked.</t>
        </is>
      </c>
      <c r="C10" s="7" t="inlineStr">
        <is>
          <t>SV-11103: 12 Oct 2026 (Branko Cicovic (designer) in Jira)</t>
        </is>
      </c>
      <c r="D10" s="7" t="inlineStr">
        <is>
          <t>You are signed in on a desktop with 'Settings - Service' and 'Work order lines - Create &amp; Edit'.
A published template with a very long name (for example 150 characters), a section with a long name, a field with a long label and a per-axle field with a measurement row renamed to a long name.
A work order with a line to add the inspection to.</t>
        </is>
      </c>
      <c r="E10" s="7" t="inlineStr">
        <is>
          <t>1. On the work order line, open Start Inspection and pick the long-named template.
2. Hover over the selected template name.
3. Start the inspection and look at the inspection name, the section heading and the long row name on the fill screen.
4. Hover over each of them.
5. Go back to the work order and look at the inspection's row.
6. Hover over the name and then click Open.
7. Complete the inspection and look at the completed screen.
8. Open the asset's Inspections tab and hover over the inspection's name.</t>
        </is>
      </c>
      <c r="F10" s="7" t="inlineStr">
        <is>
          <t>Step 2: the selected template name ends with '…' and hovering shows the full name.
Step 4: the inspection name, the section heading and the long row name each end with '…' and hovering shows the full name.
Step 6: the inspection's name ends with '…' and hovering shows the full name; Open stays visible, in line, and opens the inspection.
Step 7: View PDF and Go to work order keep their normal shape.
Step 8: the inspection's name ends with '…' and hovering shows the full name.
Step 8: the page does not scroll sideways and the other columns stay in place.</t>
        </is>
      </c>
      <c r="G10" s="6">
        <f>HYPERLINK("https://shopview.testrail.io/index.php?/cases/view/88571","C88571")</f>
        <v/>
      </c>
      <c r="H10" s="7" t="inlineStr">
        <is>
          <t>Verdict KEEP, copied as is; only the combined expected line 'Steps 2, 4, 6 and 8' was split into one line per step so each starts 'Step N:' (no content change). The surface list, 'Open stays visible' and 'View PDF and Go to work order keep their normal shape' come from the defect's expected result (Viktoria Videnovic) and the developer's fix notes; acceptable because they apply the designer's decision rather than add behaviour. SV-11103 is still in TESTING STAGE. The long field label in the preconditions is not checked by any step (an open field label wraps rather than being cut, per the fix notes) - harmless.</t>
        </is>
      </c>
    </row>
    <row r="11">
      <c r="A11" s="7" t="inlineStr">
        <is>
          <t>On a phone, Save &amp; exit keeps your answers</t>
        </is>
      </c>
      <c r="B11" s="7" t="inlineStr">
        <is>
          <t>Product agreed on 9 Oct that the phone gets Save &amp; exit like the desktop; the spec is silent and no case checks it (the phone cases date from when the phone had no save).</t>
        </is>
      </c>
      <c r="C11" s="7" t="inlineStr">
        <is>
          <t>SV-10938: 9 Oct 2026 (Milos Vasic (PM) in Jira: 'if we can improve this to work similar as desktop ( save and exit ) that can be great')</t>
        </is>
      </c>
      <c r="D11" s="7" t="inlineStr">
        <is>
          <t>You are signed in on a phone as a technician with 'Work order lines - Create &amp; Edit'.
A template with two checkbox fields (for example Brakes and Lights), added to a line on an open work order.</t>
        </is>
      </c>
      <c r="E11" s="7" t="inlineStr">
        <is>
          <t>1. Open the inspection on the open work order.
2. Answer Brakes.
3. Open the ⋮ menu at the top right and tap Save &amp; exit.
4. Open the inspection again.</t>
        </is>
      </c>
      <c r="F11" s="7" t="inlineStr">
        <is>
          <t>Step 3: Save &amp; exit saves your answers and takes you back to the work order.
Step 4: Brakes still shows your answer.</t>
        </is>
      </c>
      <c r="G11" s="6">
        <f>HYPERLINK("https://shopview.testrail.io/index.php?/cases/view/88578","C88578")</f>
        <v/>
      </c>
      <c r="H11" s="7" t="inlineStr">
        <is>
          <t>Verdict FIX, split applied. Only Save &amp; exit on the phone, working as on the desktop, is product-signed, so only that stays here. The other parts rest on the developer's description of SV-10938 (Stefan Vukovic, 9 Oct) and are held as the needs-product item 'Phone Save &amp; exit: unsaved answers, the prompt and closed work orders': 'with no Unsaved changes prompt' (the PM only said 'similar as desktop'), answers lost after a reload without saving, and no ⋮ menu on a completed or invoiced work order. The ⋮ menu location is a build label taken from the developer's notes. A V1 case (C26697) still says the phone has no Save button; it is not ours to edit (Rule 38).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50" customWidth="1" min="3" max="3"/>
    <col width="34" customWidth="1" min="4" max="4"/>
    <col width="13" customWidth="1" min="5" max="5"/>
  </cols>
  <sheetData>
    <row r="1">
      <c r="A1" s="5" t="inlineStr">
        <is>
          <t>Possible new test</t>
        </is>
      </c>
      <c r="B1" s="5" t="inlineStr">
        <is>
          <t>Question for product (Milos)</t>
        </is>
      </c>
      <c r="C1" s="5" t="inlineStr">
        <is>
          <t>What the sources say today</t>
        </is>
      </c>
      <c r="D1" s="5" t="inlineStr">
        <is>
          <t>Spec rule or decision, and when</t>
        </is>
      </c>
      <c r="E1" s="5" t="inlineStr">
        <is>
          <t>Next to existing case</t>
        </is>
      </c>
    </row>
    <row r="2">
      <c r="A2" s="7" t="inlineStr">
        <is>
          <t>Split line with an inspection: the moved note offers Build lines</t>
        </is>
      </c>
      <c r="B2" s="7" t="inlineStr">
        <is>
          <t>When a work order line that carries a completed inspection is split onto a new work order, its inspection report note moves to the new work order. After that: (1) Should the moved note offer Build lines, when the inspection has a Monitor or Not OK finding and has not been built from? (2) Should View PDF and Download on the moved note open and download the report? (3) Should the asset's Inspections tab show the new work order in the inspection's Work order column and link to it? In short: after a split, which work order counts as the one the inspection was run on?</t>
        </is>
      </c>
      <c r="C2" s="7" t="inlineStr">
        <is>
          <t>PRD v43 S7-E4 (6 Oct): "The inspection's report notes are not records of the build: when a line with an inspection is split onto a new work order, those notes move with the line and are removed from the original. Work orders split before this rule keep their notes where they are." Milos Vasic on SV-10913 (6 Oct) confirmed only that the notes move with the line and are removed from the old work order. Build lines on the moved note, working View PDF/Download and the asset row linking to the new work order come from Viktoria Videnovic's proposal (items 3-4) and Stefan Vukovic's (developer) ready-for-QA notes of 7 Oct; the PM did not answer those points. The note move itself is already covered by the planned update of C88540 and is not repeated here. Partly arguable from S4-R1 and S5-R21, but neither says which work order the inspection was 'run on' after a split.</t>
        </is>
      </c>
      <c r="D2" s="7" t="inlineStr">
        <is>
          <t>S7-E4: 6 Oct 2026 (Deleted work orders, removed inspections and splits)
SV-10913: 6 Oct 2026 (Milos Vasic (PM) in Jira - notes move, removed from the old work order)
SV-10913: 7 Oct 2026 (Stefan Vukovic (developer) in Jira - Build lines shown, View PDF/Download work, asset row links to the new work order)</t>
        </is>
      </c>
      <c r="E2" s="6">
        <f>HYPERLINK("https://shopview.testrail.io/index.php?/cases/view/88540","C88540")</f>
        <v/>
      </c>
    </row>
    <row r="3">
      <c r="A3" s="7" t="inlineStr">
        <is>
          <t>Phone Save &amp; exit: unsaved answers, the prompt and closed work orders</t>
        </is>
      </c>
      <c r="B3" s="7" t="inlineStr">
        <is>
          <t>You agreed on 9 Oct that the phone gets Save &amp; exit like the desktop. Please confirm three details the developer built: (1) On a phone, are answers that were not saved (by Save &amp; exit, the 'Unsaved changes' prompt's Save, or Submit) lost when the phone locks or the page reloads? (2) Does Save &amp; exit take the technician back to the work order without showing the 'Unsaved changes' prompt? (3) On a completed or invoiced work order, is there no ⋮ menu and so no Save &amp; exit?</t>
        </is>
      </c>
      <c r="C3" s="7" t="inlineStr">
        <is>
          <t>PRD v43 and the 22 Sep spec are silent on saving while filling (V1 relied on a Save button; no auto-save). Milos Vasic, SV-10938, 9 Oct: "if we can improve this to work similar as desktop ( save and exit ) that can be great". Stefan Vukovic (developer), SV-10938, 9 Oct: "tap Save &amp; exit: you land on the work order with no 'Unsaved changes' prompt"; "Answer the other field and lock the phone, or reload the page, without pressing Save &amp; exit: that answer is not kept. Answers are still saved only by Save &amp; exit, the 'Unsaved changes' prompt's Save, or Submit"; "On a completed or invoiced work order, the ⋮ menu isn't shown, so there is no Save &amp; exit." A case that expects answers to be lost must not ship on a developer's statement.</t>
        </is>
      </c>
      <c r="D3" s="7" t="inlineStr">
        <is>
          <t>SV-10938: 9 Oct 2026 (Milos Vasic (PM) in Jira - Save &amp; exit like the desktop)
SV-10938: 9 Oct 2026 (Stefan Vukovic (developer) in Jira - the three details above)</t>
        </is>
      </c>
      <c r="E3" s="6">
        <f>HYPERLINK("https://shopview.testrail.io/index.php?/cases/view/88578","C88578")</f>
        <v/>
      </c>
    </row>
    <row r="4">
      <c r="A4" s="7" t="inlineStr">
        <is>
          <t>An inspection on a completed line can still be submitted</t>
        </is>
      </c>
      <c r="B4" s="7" t="inlineStr">
        <is>
          <t>Since 9 Oct the build lets an inspection on a completed work order line be filled in, submitted and its report generated without uncompleting the line. Before, it was read-only with the message 'Inspection is in read only mode. Uncomplete the line to submit it.' Is this change wanted? If yes, please also confirm: adding a new inspection to a completed line is still refused, and an inspection on a declined line, or on a completed or invoiced work order, stays read-only.</t>
        </is>
      </c>
      <c r="C4" s="7" t="inlineStr">
        <is>
          <t>PRD v43 and the 22 Sep spec say nothing about it. Stefan Vukovic (developer), SV-10937, 9 Oct: "An inspection on a completed line can now be filled in and submitted, and its report generated, without uncompleting the line"; unchanged by design: "Adding a new inspection to a completed line is still refused" and "A declined line, or a completed or invoiced work order, still makes the inspection read-only". QA pass by Mudassir Qamar, 12 Oct. No product statement on the ticket. It reverses existing behaviour, so it needs a product decision; your 'lets disregard this one for now' on SV-8128 (9 Oct) was about tying line completion to inspection state and is not a sign-off for this.</t>
        </is>
      </c>
      <c r="D4" s="7" t="inlineStr">
        <is>
          <t>SV-10937: 9 Oct 2026 (Stefan Vukovic (developer) in Jira; QA pass Mudassir Qamar 2026-10-12; no PM statement)</t>
        </is>
      </c>
      <c r="E4" s="7" t="inlineStr"/>
    </row>
    <row r="5">
      <c r="A5" s="7" t="inlineStr">
        <is>
          <t>With many findings, each proposed line lists the findings it covers</t>
        </is>
      </c>
      <c r="B5" s="7" t="inlineStr">
        <is>
          <t>May one proposed line cover several findings (listing each finding it covers), and may the system itself add a plain line for a finding ShopCoach leaves out? The specification currently says each proposed line names the finding it came from, and that no empty lines are created because there is no non-AI line builder.</t>
        </is>
      </c>
      <c r="C5" s="7" t="inlineStr">
        <is>
          <t>PRD v43 S15-R13: "Each proposed line will name the finding it came from"; S15-R21: "Each proposed line will carry the identifier of the finding it came from"; Key Decision: "No empty lines are created. There is no non-AI line builder to fall back to." S15-R14 / S2-E3 (every flagged finding represented by at least one line; a large set is split, not dropped) are unchanged since 22 Sep and already covered by C88518 and C88544. Only the developer states the new behaviour: Stefan Vukovic, SV-10910, 7 Oct: "When ShopCoach leaves a finding out, it retries that finding, and then our backend adds a plain line for any finding still uncovered. A single line may cover more than one finding when one job on the same component fixes them all." SV-10910 is Blocked; SOURCE-CHECK L18 already logs this as a PO question.</t>
        </is>
      </c>
      <c r="D5" s="7" t="inlineStr">
        <is>
          <t>SV-10910: 7 Oct 2026 (Stefan Vukovic (developer) in Jira)</t>
        </is>
      </c>
      <c r="E5" s="6">
        <f>HYPERLINK("https://shopview.testrail.io/index.php?/cases/view/88544","C88544")</f>
        <v/>
      </c>
    </row>
    <row r="6">
      <c r="A6" s="7" t="inlineStr">
        <is>
          <t>Each per-axle field starts with its own axles, set to Dual</t>
        </is>
      </c>
      <c r="B6" s="7" t="inlineStr">
        <is>
          <t>Two points the specification does not cover: (1) When a template has two per-axle fields, does each field keep its own axles, so adding an axle or switching Single/Dual on one field does not change the other? (2) When an inspection starts, are the starting axles set to Dual, with Drum or Disc not chosen?</t>
        </is>
      </c>
      <c r="C6" s="7" t="inlineStr">
        <is>
          <t>PRD v43 and the 22 Sep spec are silent on both. The technical plan (Dusan Radulovic, revision of 23 Sep, copy received 30 Sep) says each per-axle field keeps its own axle list and that the starting axles are seeded Dual with brake type blank; the plan itself marks the Dual start 'confirm at Phase 5 build'. The design's untouched axle is drawn as Dual (supports, does not decide), and a QA defect description (SV-10877, 5 Oct) mentions 'Axle 1, which is Dual by default' as an observation of the build, not a decision. The tech plan informs but never overrules. Not part of the question: the starting axle count is already a spec rule since 22 Sep (S8-R9, S12-R29; covered by C88550 and C88569), and 'no values or verdicts filled in' is covered by C154647.</t>
        </is>
      </c>
      <c r="D6" s="7" t="inlineStr">
        <is>
          <t>Tech plan: axle list per per-axle field: 23 Sep 2026 (Dusan Radulovic in the technical plan (copy received 30 Sep 2026))
Tech plan: starting axles seeded Dual: 23 Sep 2026 (Dusan Radulovic in the technical plan (copy received 30 Sep 2026); marked 'confirm at Phase 5 build')</t>
        </is>
      </c>
      <c r="E6" s="6">
        <f>HYPERLINK("https://shopview.testrail.io/index.php?/cases/view/88551","C88551")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2026-10-14T09:21:44Z</dcterms:created>
  <dcterms:modified xsi:type="dcterms:W3CDTF">2026-10-14T09:21:44Z</dcterms:modified>
</cp:coreProperties>
</file>