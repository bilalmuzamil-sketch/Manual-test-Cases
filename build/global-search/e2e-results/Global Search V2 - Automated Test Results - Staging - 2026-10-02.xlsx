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esults" sheetId="2" state="visible" r:id="rId4"/>
    <sheet name="Possible new problems" sheetId="3" state="visible" r:id="rId5"/>
    <sheet name="Already reported" sheetId="4" state="visible" r:id="rId6"/>
    <sheet name="Our test's fault" sheetId="5" state="visible" r:id="rId7"/>
    <sheet name="Known faults - still there" sheetId="6" state="visible" r:id="rId8"/>
    <sheet name="Known faults - gone" sheetId="7" state="visible" r:id="rId9"/>
    <sheet name="Stood down" sheetId="8" state="visible" r:id="rId10"/>
    <sheet name="Passed" sheetId="9" state="visible" r:id="rId11"/>
  </sheets>
  <definedNames>
    <definedName function="false" hidden="true" localSheetId="1" name="_xlnm._FilterDatabase" vbProcedure="false">'All results'!$A$2:$M$340</definedName>
    <definedName function="false" hidden="true" localSheetId="3" name="_xlnm._FilterDatabase" vbProcedure="false">'Already reported'!$A$2:$M$11</definedName>
    <definedName function="false" hidden="true" localSheetId="6" name="_xlnm._FilterDatabase" vbProcedure="false">'Known faults - gone'!$A$2:$M$3</definedName>
    <definedName function="false" hidden="true" localSheetId="5" name="_xlnm._FilterDatabase" vbProcedure="false">'Known faults - still there'!$A$2:$M$23</definedName>
    <definedName function="false" hidden="true" localSheetId="4" name="_xlnm._FilterDatabase" vbProcedure="false">'Our test''s fault'!$A$2:$M$20</definedName>
    <definedName function="false" hidden="true" localSheetId="8" name="_xlnm._FilterDatabase" vbProcedure="false">Passed!$A$2:$M$220</definedName>
    <definedName function="false" hidden="true" localSheetId="2" name="_xlnm._FilterDatabase" vbProcedure="false">'Possible new problems'!$A$2:$M$9</definedName>
    <definedName function="false" hidden="true" localSheetId="7" name="_xlnm._FilterDatabase" vbProcedure="false">'Stood down'!$A$2:$M$66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<sst xmlns="http://schemas.openxmlformats.org/spreadsheetml/2006/main" count="5299" uniqueCount="848">
  <si>
    <t xml:space="preserve">Global Search V2 — automated test results</t>
  </si>
  <si>
    <t xml:space="preserve">Environment</t>
  </si>
  <si>
    <t xml:space="preserve">Staging</t>
  </si>
  <si>
    <t xml:space="preserve">Build tested</t>
  </si>
  <si>
    <t xml:space="preserve">v26.40.3-36ebbb0</t>
  </si>
  <si>
    <t xml:space="preserve">Run date</t>
  </si>
  <si>
    <t xml:space="preserve">2 October 2026 (full run); fixed tests re-run 2–3 October 2026, same build</t>
  </si>
  <si>
    <t xml:space="preserve">How it was run</t>
  </si>
  <si>
    <t xml:space="preserve">npm test from a fresh copy of the branch: the data was seeded and checked first, then every spec ran. Failures caused by the tests themselves were then fixed and those test files re-run on the same build.</t>
  </si>
  <si>
    <t xml:space="preserve">Recorded in TestRail?</t>
  </si>
  <si>
    <t xml:space="preserve">No — by instruction, this run is reported only in this file.</t>
  </si>
  <si>
    <t xml:space="preserve">Test run these cases belong to</t>
  </si>
  <si>
    <t xml:space="preserve">Run 415</t>
  </si>
  <si>
    <t xml:space="preserve">Result</t>
  </si>
  <si>
    <t xml:space="preserve">Tests</t>
  </si>
  <si>
    <t xml:space="preserve">What it means</t>
  </si>
  <si>
    <t xml:space="preserve">Passed</t>
  </si>
  <si>
    <t xml:space="preserve">The product did what the requirement says.</t>
  </si>
  <si>
    <t xml:space="preserve">Failed — possible new problem</t>
  </si>
  <si>
    <t xml:space="preserve">The product did not, and no ticket describes it. Not yet checked against the requirement; nothing raised.</t>
  </si>
  <si>
    <t xml:space="preserve">Failed — already reported</t>
  </si>
  <si>
    <t xml:space="preserve">The product did not, in a way a filed ticket already describes. Nothing new.</t>
  </si>
  <si>
    <t xml:space="preserve">Failed — our test's fault</t>
  </si>
  <si>
    <t xml:space="preserve">The test was at fault, not the product. Fixed; see the re-run result on each row.</t>
  </si>
  <si>
    <t xml:space="preserve">Known fault — still there</t>
  </si>
  <si>
    <t xml:space="preserve">A fault already in a ticket is still present. Expected.</t>
  </si>
  <si>
    <t xml:space="preserve">Known fault — did not reproduce</t>
  </si>
  <si>
    <t xml:space="preserve">A known fault did not happen this time — possibly fixed. Worth checking by hand.</t>
  </si>
  <si>
    <t xml:space="preserve">Stood down</t>
  </si>
  <si>
    <t xml:space="preserve">Not judged: something the test needs was missing. The reason is on each row.</t>
  </si>
  <si>
    <t xml:space="preserve">Total</t>
  </si>
  <si>
    <t xml:space="preserve">Should equal the number of tests in the suite (338).</t>
  </si>
  <si>
    <t xml:space="preserve">Of the test's-fault failures: passed when re-run after the fix</t>
  </si>
  <si>
    <t xml:space="preserve">Each was a fault in the test, not the product, and has been fixed. Should equal the line above it in the table.</t>
  </si>
  <si>
    <t xml:space="preserve">Failures by what happened</t>
  </si>
  <si>
    <t xml:space="preserve">A contact's e-mail match shows a different detail of the record instead of the e-mail.</t>
  </si>
  <si>
    <t xml:space="preserve">None of the 65 rows for the typed text carried a highlight.</t>
  </si>
  <si>
    <t xml:space="preserve">Parts: the whole part name is highlighted, instead of just the typed part inside it.</t>
  </si>
  <si>
    <t xml:space="preserve">Purchase orders: a received order is listed above one still on order.</t>
  </si>
  <si>
    <t xml:space="preserve">The customer row does not show the telephone on hover.</t>
  </si>
  <si>
    <t xml:space="preserve">The row shows only the characters typed, not the whole value that matched.</t>
  </si>
  <si>
    <t xml:space="preserve">The search box did not open in time, in the file whose other tests had just failed on the wrong server.</t>
  </si>
  <si>
    <t xml:space="preserve">The search box did not respond to a click within 60 seconds — test timing, not a product behaviour.</t>
  </si>
  <si>
    <t xml:space="preserve">The test failed on a row that matched on a detail it does not display, which cannot show where a highlight sits.</t>
  </si>
  <si>
    <t xml:space="preserve">The test looked for a technician by a first name that exists only on the old QA branch, so it never switched person and measured what an administrator sees.</t>
  </si>
  <si>
    <t xml:space="preserve">The test looked for the two suppliers it had just created in a list that did not include them, and crashed.</t>
  </si>
  <si>
    <t xml:space="preserve">The test sent its requests to the production server instead of staging (a server address written into one helper).</t>
  </si>
  <si>
    <t xml:space="preserve">The test used a customer and vehicle that exist only on the old QA branch, so it could not create its jobs.</t>
  </si>
  <si>
    <t xml:space="preserve">The test used an old sign-in route that needs a second cookie nobody supplies any more.</t>
  </si>
  <si>
    <t xml:space="preserve">Vehicles: two different vehicles (same unit number, different serial number) read identically in the results.</t>
  </si>
  <si>
    <t xml:space="preserve">Spec file</t>
  </si>
  <si>
    <t xml:space="preserve">Possible new</t>
  </si>
  <si>
    <t xml:space="preserve">Already reported</t>
  </si>
  <si>
    <t xml:space="preserve">Our test</t>
  </si>
  <si>
    <t xml:space="preserve">Known still there</t>
  </si>
  <si>
    <t xml:space="preserve">Known gone</t>
  </si>
  <si>
    <t xml:space="preserve">C146197-C146208-sri-work-orders.spec.ts</t>
  </si>
  <si>
    <t xml:space="preserve">C146202-C146282-sri-retest-full-value.spec.ts</t>
  </si>
  <si>
    <t xml:space="preserve">C146209-C146223-sri-customers.spec.ts</t>
  </si>
  <si>
    <t xml:space="preserve">C146224-C146284-sri-entities.spec.ts</t>
  </si>
  <si>
    <t xml:space="preserve">C146285-C146306-sri-all-tab.spec.ts</t>
  </si>
  <si>
    <t xml:space="preserve">C44804-C55683-panel-keyboard.spec.ts</t>
  </si>
  <si>
    <t xml:space="preserve">access-and-location.spec.ts</t>
  </si>
  <si>
    <t xml:space="preserve">counts-and-ranking.spec.ts</t>
  </si>
  <si>
    <t xml:space="preserve">findability-matching.spec.ts</t>
  </si>
  <si>
    <t xml:space="preserve">findability.spec.ts</t>
  </si>
  <si>
    <t xml:space="preserve">panel.spec.ts</t>
  </si>
  <si>
    <t xml:space="preserve">permissions-two-accounts.spec.ts</t>
  </si>
  <si>
    <t xml:space="preserve">ranking-order.spec.ts</t>
  </si>
  <si>
    <t xml:space="preserve">ranking-seeded.spec.ts</t>
  </si>
  <si>
    <t xml:space="preserve">recent-mobile-empty.spec.ts</t>
  </si>
  <si>
    <t xml:space="preserve">results-integrity.spec.ts</t>
  </si>
  <si>
    <t xml:space="preserve">rows-access-misc.spec.ts</t>
  </si>
  <si>
    <t xml:space="preserve">sri-distinguish-misc.spec.ts</t>
  </si>
  <si>
    <t xml:space="preserve">structure-and-scoping.spec.ts</t>
  </si>
  <si>
    <t xml:space="preserve">tabs-groups-navigation.spec.ts</t>
  </si>
  <si>
    <t xml:space="preserve">Every test in this run, one row each. The Summary counts are formulas over this sheet.</t>
  </si>
  <si>
    <t xml:space="preserve">Case</t>
  </si>
  <si>
    <t xml:space="preserve">Case in TestRail</t>
  </si>
  <si>
    <t xml:space="preserve">Test run</t>
  </si>
  <si>
    <t xml:space="preserve">What the test checks</t>
  </si>
  <si>
    <t xml:space="preserve">Likely cause</t>
  </si>
  <si>
    <t xml:space="preserve">What happened</t>
  </si>
  <si>
    <t xml:space="preserve">What needs to be done</t>
  </si>
  <si>
    <t xml:space="preserve">Ticket</t>
  </si>
  <si>
    <t xml:space="preserve">Ticket status (read live)</t>
  </si>
  <si>
    <t xml:space="preserve">Line</t>
  </si>
  <si>
    <t xml:space="preserve">Seconds</t>
  </si>
  <si>
    <t xml:space="preserve">Re-run after fixing the test</t>
  </si>
  <si>
    <t xml:space="preserve">Re-run detail</t>
  </si>
  <si>
    <t xml:space="preserve">C146216</t>
  </si>
  <si>
    <t xml:space="preserve">Open case</t>
  </si>
  <si>
    <t xml:space="preserve">C146216 — SRI-CUST-C3 — A match on a contact's email address shows the FULL value on the</t>
  </si>
  <si>
    <t xml:space="preserve">Error: the note shows neither the whole value "zzautotest.nophone@staging.shopview.local" nor the text typed — it shows a different detail of the record altogether: ["Contact match: ZZAUTOTEST"] expect(received).toHaveLength(expected) Expected length: 0 Received length: 1 Received array: ["Contact match: ZZAUTOTEST"] 170 | expect(wrongValue, 171 | `the note shows neither the whole value "${term}" nor the text typed — it shows a ` + &gt; 172 | `different detail of the record altogether: ${JSON.stringify(wrongValue)}`).toHaveLength(0); | ^ 173 | return; 174 | } 175 | at /tmp/claude-0/-home-user-Man</t>
  </si>
  <si>
    <t xml:space="preserve">Check it against the requirement as it reads today (not yet done), then decide whether to raise it. Nothing has been raised.</t>
  </si>
  <si>
    <t xml:space="preserve">C146233</t>
  </si>
  <si>
    <t xml:space="preserve">C146233 — Parts: the whole part number is shown, with the typed part marked inside it</t>
  </si>
  <si>
    <t xml:space="preserve">Error: row 1: the WHOLE value "ZZLONGROW Heavy Duty Air Brake" is highlighted rather than just the typed "ZZLONGROW" within it, so nothing marks which part actually matched expect(received).toBeGreaterThan(expected) Expected: &gt; 0 Received: 0 260 | expect(unmarked.length, 261 | `row ${r.index}: the WHOLE value "${r.title.text}" is highlighted rather than just the ` + &gt; 262 | `typed "${TERM}" within it, so nothing marks which part actually matched`).toBeGreaterThan(0); | ^ 263 | expect(r.title.clipped, 264 | `row ${r.index} is cut short — it paints ${r.title.clientW}px of ${r.title.scrollW}px an</t>
  </si>
  <si>
    <t xml:space="preserve">Failed</t>
  </si>
  <si>
    <t xml:space="preserve">Error: row 1: the WHOLE value "ZZLONGROW Heavy Duty Air Brake" is highlighted rather than just the typed "ZZLONGROW" within it, so nothing marks which part actually matched expect(received).toBeGreaterThan(expected) Expected: &gt; 0 Received: 0 282 | expect(unmarked.length, 283 | `row ${r.index}: the WHOLE value "${r.title.text}" is highlighted rather than just the ` + &gt; 284 | `typed "${TERM}" within</t>
  </si>
  <si>
    <t xml:space="preserve">C146235</t>
  </si>
  <si>
    <t xml:space="preserve">C146235 — Parts: the highlight marks the match inside the text, not instead of it</t>
  </si>
  <si>
    <t xml:space="preserve">Error: row 1: every piece of "ZZLONGROW Heavy Duty Air Brake" is highlighted, so the mark covers the whole value instead of the typed "ZZLONGROW" inside it expect(received).toBe(expected) // Object.is equality Expected: true Received: false 315 | expect(r.title.segs.some((x) =&gt; !x.marked), 316 | `row ${r.index}: every piece of "${r.title.text}" is highlighted, so the mark covers the ` + &gt; 317 | `whole value instead of the typed "${TERM}" inside it`).toBe(true); | ^ 318 | const rebuilt = r.title.segs.map((x) =&gt; x.text).join('').replace(/\s+/g, ' ').trim(); 319 | expect(rebuilt, `row ${r.index}:</t>
  </si>
  <si>
    <t xml:space="preserve">Error: row 1: every piece of "ZZLONGROW Heavy Duty Air Brake" is highlighted, so the mark covers the whole value instead of the typed "ZZLONGROW" inside it expect(received).toBe(expected) // Object.is equality Expected: true Received: false 336 | expect(r.title.segs.some((x) =&gt; !x.marked), 337 | `row ${r.index}: every piece of "${r.title.text}" is highlighted, so the mark covers the ` + &gt; 338 | `w</t>
  </si>
  <si>
    <t xml:space="preserve">C146227</t>
  </si>
  <si>
    <t xml:space="preserve">C146227 — Assets: two records sharing the typed text can be told apart</t>
  </si>
  <si>
    <t xml:space="preserve">Error: these rows read identically to a person: ["ZZLONGROW-123786 · 2021 Rowcheck Trucks Longhauler | | ZZLONGROW Heavy Haulage And Trailer Repair Services Of Greater Fernvale 123786"] expect(received).toHaveLength(expected) Expected length: 0 Received length: 1 Received array: ["ZZLONGROW-123786 · 2021 Rowcheck Trucks Longhauler | | ZZLONGROW Heavy Haulage And Trailer Repair Services Of Greater Fernvale 123786"] 331 | const seen = rows.map(visibleRow); 332 | const dupes = seen.filter((v, i) =&gt; seen.indexOf(v) !== i); &gt; 333 | expect(dupes, `these rows read identically to a person: ${JSON.stri</t>
  </si>
  <si>
    <t xml:space="preserve">Error: these rows read identically to a person: ["ZZLONGROW-123786 · 2021 Rowcheck Trucks Longhauler | | ZZLONGROW Heavy Haulage And Trailer Repair Services Of Greater Fernvale 123786"] expect(received).toHaveLength(expected) Expected length: 0 Received length: 1 Received array: ["ZZLONGROW-123786 · 2021 Rowcheck Trucks Longhauler | | ZZLONGROW Heavy Haulage And Trailer Repair Services Of Greater </t>
  </si>
  <si>
    <t xml:space="preserve">C146228</t>
  </si>
  <si>
    <t xml:space="preserve">C146228 — Assets: records with the same bold line differ somewhere you can see</t>
  </si>
  <si>
    <t xml:space="preserve">Error: rows 1,2 share the bold line "ZZLONGROW-123786 · 2021 Rowcheck Trucks Longhauler" and nothing visible separates them: [" | ZZLONGROW Heavy Haulage And Trailer Repair Services Of Greater Fernvale 123786"," | ZZLONGROW Heavy Haulage And Trailer Repair Services Of Greater Fernvale 123786"] expect(received).toBe(expected) // Object.is equality Expected: 2 Received: 1 348 | expect(new Set(rest).size, 349 | `rows ${group.map((r) =&gt; r.index).join(',')} share the bold line "${title}" and nothing visible ` + &gt; 350 | `separates them: ${JSON.stringify(rest)}`).toBe(group.length); | ^ 351 | } 352 |</t>
  </si>
  <si>
    <t xml:space="preserve">Error: rows 1,2 share the bold line "ZZLONGROW-123786 · 2021 Rowcheck Trucks Longhauler" and nothing visible separates them: [" | ZZLONGROW Heavy Haulage And Trailer Repair Services Of Greater Fernvale 123786"," | ZZLONGROW Heavy Haulage And Trailer Repair Services Of Greater Fernvale 123786"] expect(received).toBe(expected) // Object.is equality Expected: 2 Received: 1 369 | expect(new Set(rest).</t>
  </si>
  <si>
    <t xml:space="preserve">C45137</t>
  </si>
  <si>
    <t xml:space="preserve">C45137 — still-ordered purchase orders rank above received ones</t>
  </si>
  <si>
    <t xml:space="preserve">Error: a received order is above a still-ordered one: ["Partial","Ordered","Ordered","Ordered","Ordered","Partial","Partial","Ordered","Partial","Partial","Partial","Received","Received","Received","Received","Ordered","Received","Received","Received"] expect(received).toBeLessThan(expected) Expected: &lt; 11 Received: 15 70 | const firstReceived = seq.indexOf('Received'); 71 | if (lastOrdered &gt;= 0 &amp;&amp; firstReceived &gt;= 0) { &gt; 72 | expect(lastOrdered, `a received order is above a still-ordered one: ${JSON.stringify(seq)}`).toBeLessThan(firstReceived); | ^ 73 | } 74 | // NOT asserted: where "Partial</t>
  </si>
  <si>
    <t xml:space="preserve">Error: a received order is above a still-ordered one: ["Partial","Ordered","Ordered","Ordered","Ordered","Partial","Partial","Ordered","Partial","Partial","Partial","Received","Received","Received","Received","Ordered","Received","Received","Received"] expect(received).toBeLessThan(expected) Expected: &lt; 11 Received: 15 70 | const firstReceived = seq.indexOf('Received'); 71 | if (lastOrdered &gt;= 0 &amp;</t>
  </si>
  <si>
    <t xml:space="preserve">C44828</t>
  </si>
  <si>
    <t xml:space="preserve">C44828 — the typed text is highlighted inside each matching row</t>
  </si>
  <si>
    <t xml:space="preserve">Error: 65 of 65 rows carry no highlight at all expect(received).toBe(expected) // Object.is equality Expected: 0 Received: 65 264 | expect(r.length, `"${word}" finds nothing`).toBeGreaterThan(0); 265 | const unmarked = r.filter(x =&gt; x.marks.length === 0).length; &gt; 266 | expect(unmarked, `${unmarked} of ${r.length} rows carry no highlight at all`).toBe(0); | ^ 267 | }); 268 | 269 | test('C44848 — a close match is drawn as a close match @C44848', async () =&gt; { at /tmp/claude-0/-home-user-Manual-test-Cases/126e0959-4bca-54ed-8b95-71a191ca38d1/scratchpad/clean3/repo/build/global-search/e2e/tests/f</t>
  </si>
  <si>
    <t xml:space="preserve">C146205</t>
  </si>
  <si>
    <t xml:space="preserve">C146205 — SRI-WO-C4 — A match on line item descriptions (parts and labor on the WO) show</t>
  </si>
  <si>
    <t xml:space="preserve">Error: these rows show only the characters typed instead of the whole value: ["Part number: \n786","Part number: \n786","Part description: \n786","Part description: \n786","Part description: \n786","Part description: \n786","Part description: \n786"] expect(received).toHaveLength(expected) Expected length: 0 Received length: 7 Received array: ["Part number:· 786", "Part number:· 786", "Part description:· 786", "Part description:· 786", "Part description:· 786", "Part description:· 786", "Part description:· 786"] 187 | expect(onlyTyped, 188 | `these rows show only the characters typed instead o</t>
  </si>
  <si>
    <t xml:space="preserve">Nothing new to raise: this is the behaviour SV-10634 describes (status Ready to Fix). It should pass once that fix reaches this build.</t>
  </si>
  <si>
    <t xml:space="preserve">SV-10634</t>
  </si>
  <si>
    <t xml:space="preserve">Ready to Fix</t>
  </si>
  <si>
    <t xml:space="preserve">C146206</t>
  </si>
  <si>
    <t xml:space="preserve">C146206 — SRI-WO-C5 — A match on part numbers on the work order's lines (`item_part_numb</t>
  </si>
  <si>
    <t xml:space="preserve">C146238</t>
  </si>
  <si>
    <t xml:space="preserve">C146238 — SRI-PART-C1 — A match on bin location shows the FULL value on the row</t>
  </si>
  <si>
    <t xml:space="preserve">Error: these rows show only the characters typed instead of the whole value: ["Bin: \nH3B","Bin: \nH3B","Bin: \nH3B","Bin: \nH3B","Bin: \nH3B","Bin: \nH3B","Bin: \nH3B","Bin: \nH3B","Bin: \nH3B","Bin: \nH3B","Bin: \nH3B","Bin: \nH3B","Bin: \nH3B","Bin: \nH3B","Bin: \nH3B","Bin: \nH3B","Bin: \nH3B","Bin: \nH3B","Bin: \nH3B","Bin: \nH3B"] expect(received).toHaveLength(expected) Expected length: 0 Received length: 20 Received array: ["Bin:· H3B", "Bin:· H3B", "Bin:· H3B", "Bin:· H3B", "Bin:· H3B", "Bin:· H3B", "Bin:· H3B", "Bin:· H3B", "Bin:· H3B", "Bin:· H3B", …] 187 | expect(onlyTyped, 188 | `t</t>
  </si>
  <si>
    <t xml:space="preserve">C146242</t>
  </si>
  <si>
    <t xml:space="preserve">C146242 — SRI-PART-C5 — A match on tags shows the FULL value on the row</t>
  </si>
  <si>
    <t xml:space="preserve">Error: these rows show only the characters typed instead of the whole value: ["Tag: \n496","Tag: \n496"] expect(received).toHaveLength(expected) Expected length: 0 Received length: 2 Received array: ["Tag:· 496", "Tag:· 496"] 187 | expect(onlyTyped, 188 | `these rows show only the characters typed instead of the whole value: ${JSON.stringify(onlyTyped)}`) &gt; 189 | .toHaveLength(0); | ^ 190 | }); 191 | } 192 | at /tmp/claude-0/-home-user-Manual-test-Cases/126e0959-4bca-54ed-8b95-71a191ca38d1/scratchpad/clean3/repo/build/global-search/e2e/tests/C146202-C146282-sri-retest-full-value.spec.ts:189:8</t>
  </si>
  <si>
    <t xml:space="preserve">C146252</t>
  </si>
  <si>
    <t xml:space="preserve">C146252 — SRI-VEND-C3 — A match on a contact's telephone shows the FULL value on the row</t>
  </si>
  <si>
    <t xml:space="preserve">Error: these rows show only the characters typed instead of the whole value: ["Address: \n965","Contact match: \n965","Contact match: \n965","Contact match: \n965","Contact match: \n965","Contact match: \n965","Contact match: \n965"] expect(received).toHaveLength(expected) Expected length: 0 Received length: 7 Received array: ["Address:· 965", "Contact match:· 965", "Contact match:· 965", "Contact match:· 965", "Contact match:· 965", "Contact match:· 965", "Contact match:· 965"] 187 | expect(onlyTyped, 188 | `these rows show only the characters typed instead of the whole value: ${JSON.stringif</t>
  </si>
  <si>
    <t xml:space="preserve">C146271</t>
  </si>
  <si>
    <t xml:space="preserve">C146271 — SRI-PO-C1 — A match on part numbers on the PO shows the FULL value on the row</t>
  </si>
  <si>
    <t xml:space="preserve">Error: these rows show only the characters typed instead of the whole value: ["Part number: \n0123"] expect(received).toHaveLength(expected) Expected length: 0 Received length: 1 Received array: ["Part number:· 0123"] 187 | expect(onlyTyped, 188 | `these rows show only the characters typed instead of the whole value: ${JSON.stringify(onlyTyped)}`) &gt; 189 | .toHaveLength(0); | ^ 190 | }); 191 | } 192 | at /tmp/claude-0/-home-user-Manual-test-Cases/126e0959-4bca-54ed-8b95-71a191ca38d1/scratchpad/clean3/repo/build/global-search/e2e/tests/C146202-C146282-sri-retest-full-value.spec.ts:189:8</t>
  </si>
  <si>
    <t xml:space="preserve">C146272</t>
  </si>
  <si>
    <t xml:space="preserve">C146272 — SRI-PO-C2 — A match on part descriptions on the PO shows the FULL value on the</t>
  </si>
  <si>
    <t xml:space="preserve">Error: these rows show only the characters typed instead of the whole value: ["Part description: \n786","Part description: \n786","Part number: \n786","Part description: \n786"] expect(received).toHaveLength(expected) Expected length: 0 Received length: 4 Received array: ["Part description:· 786", "Part description:· 786", "Part number:· 786", "Part description:· 786"] 187 | expect(onlyTyped, 188 | `these rows show only the characters typed instead of the whole value: ${JSON.stringify(onlyTyped)}`) &gt; 189 | .toHaveLength(0); | ^ 190 | }); 191 | } 192 | at /tmp/claude-0/-home-user-Manual-test-Ca</t>
  </si>
  <si>
    <t xml:space="preserve">C146209</t>
  </si>
  <si>
    <t xml:space="preserve">C146209 — each row shows the COMPLETE telephone, with the typed part inside it</t>
  </si>
  <si>
    <t xml:space="preserve">Error: these rows show only the digits typed instead of the whole telephone: ["Contact match: \n0900","Contact match: \n0900","Contact match: \n0900","Contact match: \n0900","Contact match: \n0900","Contact match: \n0900","Contact match: \n0900","Contact match: \n0900","Contact match: \n0900","Contact match: \n0900","Contact match: \n0900","Contact match: \n0900","Contact match: \n0900","Contact match: \n0900","Contact match: \n0900"] expect(received).toHaveLength(expected) Expected length: 0 Received length: 15 Received array: ["Contact match:· 0900", "Contact match:· 0900", "Contact match:· </t>
  </si>
  <si>
    <t xml:space="preserve">C146222</t>
  </si>
  <si>
    <t xml:space="preserve">C146222 — the customer row shows every field the requirement names</t>
  </si>
  <si>
    <t xml:space="preserve">Error: the customer row is missing ["telephone on hover"]. Row reads "7 Star Truck Repair 32 open 305 Harris Cape, Priscillabury, Nunavut". Hover added [] (pointer reached the row: true). expect(received).toHaveLength(expected) Expected length: 0 Received length: 1 Received array: ["telephone on hover"] 209 | expect(missing, `the customer row is missing ${JSON.stringify(missing)}. Row reads "${r.text}". ` + 210 | `Hover added ${JSON.stringify(hov.gained)} (pointer reached the row: ${hoverReached}).`) &gt; 211 | .toHaveLength(0); | ^ 212 | }); 213 | 214 | test('C146223 — a soft match is drawn as a</t>
  </si>
  <si>
    <t xml:space="preserve">Nothing new to raise: this is the behaviour SV-10635 describes (status Ready to Fix). It should pass once that fix reaches this build.</t>
  </si>
  <si>
    <t xml:space="preserve">SV-10635</t>
  </si>
  <si>
    <t xml:space="preserve">C146245</t>
  </si>
  <si>
    <t xml:space="preserve">C146245 — Vendors: the whole telephone is shown, with the typed part marked inside it</t>
  </si>
  <si>
    <t xml:space="preserve">Error: CONTROL FAILED: no highlight found anywhere on row 8, so anything said below about an unhighlighted line is about this reader expect(received).toBeGreaterThan(expected) Expected: &gt; 0 Received: 0 247 | expect(r.marks.length, 248 | `CONTROL FAILED: no highlight found anywhere on row ${r.index}, so anything said below about ` + &gt; 249 | `an unhighlighted line is about this reader`).toBeGreaterThan(0); | ^ 250 | // …then the requirement itself: highlighted in the primary AND secondary text. 251 | expect(unmarkedLines(r, TERM), 252 | `row ${r.index}: the typed text is shown on these lines wit</t>
  </si>
  <si>
    <t xml:space="preserve">The test has been fixed. Re-run after the fix: Passed.</t>
  </si>
  <si>
    <t xml:space="preserve">C146266</t>
  </si>
  <si>
    <t xml:space="preserve">C146266 — Purchase Orders: the whole PO number is shown, with the typed part marked inside it</t>
  </si>
  <si>
    <t xml:space="preserve">Error: CONTROL FAILED: no highlight found anywhere on row 11, so anything said below about an unhighlighted line is about this reader expect(received).toBeGreaterThan(expected) Expected: &gt; 0 Received: 0 247 | expect(r.marks.length, 248 | `CONTROL FAILED: no highlight found anywhere on row ${r.index}, so anything said below about ` + &gt; 249 | `an unhighlighted line is about this reader`).toBeGreaterThan(0); | ^ 250 | // …then the requirement itself: highlighted in the primary AND secondary text. 251 | expect(unmarkedLines(r, TERM), 252 | `row ${r.index}: the typed text is shown on these lines wi</t>
  </si>
  <si>
    <t xml:space="preserve">C146247</t>
  </si>
  <si>
    <t xml:space="preserve">C146247 — Vendors: the highlight marks the match inside the text, not instead of it</t>
  </si>
  <si>
    <t xml:space="preserve">Error: CONTROL FAILED: no highlight anywhere on row 8 expect(received).toBeGreaterThan(expected) Expected: &gt; 0 Received: 0 310 | expect(rows.length).toBeGreaterThan(0); 311 | for (const r of rows) { &gt; 312 | expect(r.marks.length, `CONTROL FAILED: no highlight anywhere on row ${r.index}`).toBeGreaterThan(0); | ^ 313 | expect(unmarkedLines(r, TERM), 314 | `row ${r.index}: the typed text appears on these lines unhighlighted`).toEqual([]); 315 | expect(r.title.segs.some((x) =&gt; !x.marked), at /tmp/claude-0/-home-user-Manual-test-Cases/126e0959-4bca-54ed-8b95-71a191ca38d1/scratchpad/clean3/repo/buil</t>
  </si>
  <si>
    <t xml:space="preserve">C146268</t>
  </si>
  <si>
    <t xml:space="preserve">C146268 — Purchase Orders: the highlight marks the match inside the text, not instead of it</t>
  </si>
  <si>
    <t xml:space="preserve">Error: CONTROL FAILED: no highlight anywhere on row 11 expect(received).toBeGreaterThan(expected) Expected: &gt; 0 Received: 0 310 | expect(rows.length).toBeGreaterThan(0); 311 | for (const r of rows) { &gt; 312 | expect(r.marks.length, `CONTROL FAILED: no highlight anywhere on row ${r.index}`).toBeGreaterThan(0); | ^ 313 | expect(unmarkedLines(r, TERM), 314 | `row ${r.index}: the typed text appears on these lines unhighlighted`).toEqual([]); 315 | expect(r.title.segs.some((x) =&gt; !x.marked), at /tmp/claude-0/-home-user-Manual-test-Cases/126e0959-4bca-54ed-8b95-71a191ca38d1/scratchpad/clean3/repo/bui</t>
  </si>
  <si>
    <t xml:space="preserve">C146306</t>
  </si>
  <si>
    <t xml:space="preserve">C146306 — someone without access sees no rows AND no count</t>
  </si>
  <si>
    <t xml:space="preserve">Error: Staging needs a live session cookie. Sign in to app.staging.shopview.com in a browser, then set GS_SSO and GS_PHPSESSID (and GS_CF if Cloudflare is in front) — or point GS_STAGING_ENVF at a file holding SV_SSO_SESSION=, PHPSESSID= and CF_CLEARANCE=. Staging uses Google sign-in, so there is no username and password to script. See e2e/.env.example. at ../fixtures/boot.ts:421 419 | const valueOf = (name: string) =&gt; SOURCES.find(([n]) =&gt; n === name)?.[1] ?? ''; 420 | if (!valueOf('sv_sso_session') || !valueOf('PHPSESSID')) { &gt; 421 | throw new Error( | ^ 422 | 'Staging needs a live session c</t>
  </si>
  <si>
    <t xml:space="preserve">C44809</t>
  </si>
  <si>
    <t xml:space="preserve">C44809 — Down and Up move the highlight across result rows only</t>
  </si>
  <si>
    <t xml:space="preserve">TimeoutError: locator.click: Timeout 60000ms exceeded. Call log: - waiting for locator('.search-modal input') - locator resolved to &lt;input value="" type="text" tabindex="0" role="combobox" autocorrect="off" autocomplete="off" spellcheck="false" aria-label="Search" aria-expanded="true" autocapitalize="off" data-autofocus="true" enterkeyhint="search" aria-autocomplete="list" data-test-id="search_modal_input" aria-controls="search_modal_listbox" class="q-field__native q-placeholder" id="f_1fbe4b4b-e83a-485d-80e8-c9e8618fdbe0" placeholder="Search work orders, customers, parts and more" aria-active</t>
  </si>
  <si>
    <t xml:space="preserve">C45144</t>
  </si>
  <si>
    <t xml:space="preserve">C45144 — parts appear only with Catalog &amp; Inventory access</t>
  </si>
  <si>
    <t xml:space="preserve">Error: parts hidden with access granted expect(received).toBeGreaterThan(expected) Expected: &gt; 0 Received: 0 110 | expect((await search(s.page, FIXTURE)).counts['Parts'] ?? 0, 'parts shown without access').toBeFalsy(); 111 | await asTechnicianWith([...new Set([...all, parts])]); &gt; 112 | expect((await search(s.page, FIXTURE)).counts['Parts'] ?? 0, 'parts hidden with access granted').toBeGreaterThan(0); | ^ 113 | }); 114 | 115 | test('C45146 — removing customer access removes customers AND vehicles @C45146', async () =&gt; { at /tmp/claude-0/-home-user-Manual-test-Cases/126e0959-4bca-54ed-8b95-71a1</t>
  </si>
  <si>
    <t xml:space="preserve">C45146</t>
  </si>
  <si>
    <t xml:space="preserve">C45146 — removing customer access removes customers AND vehicles</t>
  </si>
  <si>
    <t xml:space="preserve">Error: customers still shown expect(received).toBeFalsy() Received: 20 121 | await asTechnicianWith(all.filter((id: string) =&gt; id !== cust)); 122 | const p = await search(s.page, FIXTURE); &gt; 123 | expect(p.counts['Customers'] ?? 0, 'customers still shown').toBeFalsy(); | ^ 124 | expect(p.counts['Assets'] ?? 0, 'vehicles still shown — they depend on customer access too').toBeFalsy(); 125 | }); 126 | at /tmp/claude-0/-home-user-Manual-test-Cases/126e0959-4bca-54ed-8b95-71a191ca38d1/scratchpad/clean3/repo/build/global-search/e2e/tests/access-and-location.spec.ts:123:63</t>
  </si>
  <si>
    <t xml:space="preserve">C45147</t>
  </si>
  <si>
    <t xml:space="preserve">C45147 — a time-clock-only person gets nothing at all</t>
  </si>
  <si>
    <t xml:space="preserve">Error: All returned results expect(received).toBeFalsy() Received: 124 131 | await asTechnicianWith(idsOf(['timesheetsView'])); 132 | const p = await search(s.page, FIXTURE); &gt; 133 | for (const [tab, v] of Object.entries(p.counts)) expect(v ?? 0, `${tab} returned results`).toBeFalsy(); | ^ 134 | }); 135 | 136 | /** at /tmp/claude-0/-home-user-Manual-test-Cases/126e0959-4bca-54ed-8b95-71a191ca38d1/scratchpad/clean3/repo/build/global-search/e2e/tests/access-and-location.spec.ts:133:94</t>
  </si>
  <si>
    <t xml:space="preserve">C45143</t>
  </si>
  <si>
    <t xml:space="preserve">C45143 — a part-sales role sees part sales but not parts or suppliers</t>
  </si>
  <si>
    <t xml:space="preserve">Error: parts shown to a part-sales-only role expect(received).toBeFalsy() Received: 15 158 | const p = await search(s.page, FIXTURE); 159 | expect(p.counts['Part sales'] ?? 0, 'part sales hidden from a part-sales role').toBeGreaterThan(0); &gt; 160 | expect(p.counts['Parts'] ?? 0, 'parts shown to a part-sales-only role').toBeFalsy(); | ^ 161 | expect(p.counts['Vendors'] ?? 0, 'suppliers shown to a part-sales-only role').toBeFalsy(); 162 | }); 163 | at /tmp/claude-0/-home-user-Manual-test-Cases/126e0959-4bca-54ed-8b95-71a191ca38d1/scratchpad/clean3/repo/build/global-search/e2e/tests/access-and-loc</t>
  </si>
  <si>
    <t xml:space="preserve">C45151</t>
  </si>
  <si>
    <t xml:space="preserve">C45151 · C45152 · C55684 — search is limited to the shop you are in, and follows you</t>
  </si>
  <si>
    <t xml:space="preserve">Error: a job could not be created at each shop expect(received).toBeTruthy() Received: undefined 190 | if (label === 'heavy') heavyJob = num; else lethJob = num; 191 | } &gt; 192 | expect(heavyJob &amp;&amp; lethJob, 'a job could not be created at each shop').toBeTruthy(); | ^ 193 | await s.page.waitForTimeout(30_000); 194 | 195 | const readAt = async (wp: string) =&gt; { at /tmp/claude-0/-home-user-Manual-test-Cases/126e0959-4bca-54ed-8b95-71a191ca38d1/scratchpad/clean3/repo/build/global-search/e2e/tests/access-and-location.spec.ts:192:76</t>
  </si>
  <si>
    <t xml:space="preserve">C55716</t>
  </si>
  <si>
    <t xml:space="preserve">C55716 — the record changed most recently is listed first [expected to fail: SV-10340]</t>
  </si>
  <si>
    <t xml:space="preserve">TypeError: Cannot read properties of undefined (reading 'id') 144 | const mine = ((list.body as any)?.data?.collection ?? []).filter((v: any) =&gt; String(v.name).includes(tag)); 145 | const target = mine[1] ?? mine[0]; &gt; 146 | const w = await api(s.page, 'POST', '/api/parts-catalogue/change-vendor', { ...target, vendor_id: target.id, id: target.id, name: lowered }); | ^ 147 | expect(w.status, `the rename was refused: ${w.text}`).toBeLessThan(400); 148 | 149 | // The edit appearing in the results IS the proof the entry rebuilt. Without it, a stale order at /tmp/claude-0/-home-user-Manual-test-Cas</t>
  </si>
  <si>
    <t xml:space="preserve">SV-10340</t>
  </si>
  <si>
    <t xml:space="preserve">OBSOLETE</t>
  </si>
  <si>
    <t xml:space="preserve">C55724</t>
  </si>
  <si>
    <t xml:space="preserve">C55724b — a name starting with the query ranks above one that only contains it (seeded)</t>
  </si>
  <si>
    <t xml:space="preserve">Error: page.evaluate: TypeError: Failed to fetch (api.shopview.com) at https://app.staging.shopview.com/js/sentry.B6EvyTlO.js:17:8323 at eval (eval at evaluate (:290:30), &lt;anonymous&gt;:2:21) at UtilityScript.evaluate (&lt;anonymous&gt;:292:16) at UtilityScript.&lt;anonymous&gt; (&lt;anonymous&gt;:1:44) at https://app.staging.shopview.com/js/sentry.B6EvyTlO.js:17:8323 at eval (eval at evaluate (:290:30), &lt;anonymous&gt;:2:21) at UtilityScript.evaluate (&lt;anonymous&gt;:292:16) at UtilityScript.&lt;anonymous&gt; (&lt;anonymous&gt;:1:44) at createCustomer (/tmp/claude-0/-home-user-Manual-test-Cases/126e0959-4bca-54ed-8b95-71a191ca38d1/s</t>
  </si>
  <si>
    <t xml:space="preserve">C55723</t>
  </si>
  <si>
    <t xml:space="preserve">C55723 — a record matched on its name ranks above one matched on a lesser field</t>
  </si>
  <si>
    <t xml:space="preserve">C45139</t>
  </si>
  <si>
    <t xml:space="preserve">C45139 — a match in a lesser field still finds the company</t>
  </si>
  <si>
    <t xml:space="preserve">C53586</t>
  </si>
  <si>
    <t xml:space="preserve">C53586 — a newly created customer is findable within 30 seconds</t>
  </si>
  <si>
    <t xml:space="preserve">C53587</t>
  </si>
  <si>
    <t xml:space="preserve">C53587 — a newly created record of another kind is findable within 30 seconds</t>
  </si>
  <si>
    <t xml:space="preserve">C55712</t>
  </si>
  <si>
    <t xml:space="preserve">C55712 — Parts: what is relevant to where you are is still found from there</t>
  </si>
  <si>
    <t xml:space="preserve">Error: expect(locator).toBeVisible() failed Locator: locator('.search-modal') Expected: visible Timeout: 20000ms Error: element(s) not found Call log: - Expect "toBeVisible" with timeout 20000ms - waiting for locator('.search-modal') at ../fixtures/search.ts:28 26 | const already = await page.locator(SEL.modal).count(); 27 | if (!already) { await page.keyboard.press('Control+k'); await page.waitForTimeout(1_400); } &gt; 28 | await expect(page.locator(SEL.modal)).toBeVisible(); | ^ 29 | } 30 | 31 | export async function closePanel(page: Page) { at openPanel (/tmp/claude-0/-home-user-Manual-test-Ca</t>
  </si>
  <si>
    <t xml:space="preserve">C146202</t>
  </si>
  <si>
    <t xml:space="preserve">C146202 — SRI-WO-C1 — A match on VIN / serial number shows the FULL value on the row</t>
  </si>
  <si>
    <t xml:space="preserve">Failed in the known way. The fault recorded under None is still there.</t>
  </si>
  <si>
    <t xml:space="preserve">Nothing new. Already known; waiting on the fix.</t>
  </si>
  <si>
    <t xml:space="preserve">C146214</t>
  </si>
  <si>
    <t xml:space="preserve">C146214 — SRI-CUST-C1 — A match on the customer's own telephone shows the FULL value on</t>
  </si>
  <si>
    <t xml:space="preserve">C146215</t>
  </si>
  <si>
    <t xml:space="preserve">C146215 — SRI-CUST-C2 — A match on a contact's telephone shows the FULL value on the row</t>
  </si>
  <si>
    <t xml:space="preserve">C146217</t>
  </si>
  <si>
    <t xml:space="preserve">C146217 — SRI-CUST-C4 — A match on a contact's name shows the FULL value on the row</t>
  </si>
  <si>
    <t xml:space="preserve">C146218</t>
  </si>
  <si>
    <t xml:space="preserve">C146218 — SRI-CUST-C5 — A match on address line 2 shows the FULL value on the row</t>
  </si>
  <si>
    <t xml:space="preserve">C146229</t>
  </si>
  <si>
    <t xml:space="preserve">C146229 — SRI-ASSET-C1 — A match on VIN / serial number shows the FULL value on the row</t>
  </si>
  <si>
    <t xml:space="preserve">C146230</t>
  </si>
  <si>
    <t xml:space="preserve">C146230 — SRI-ASSET-C2 — A match on licence plate shows the FULL value on the row</t>
  </si>
  <si>
    <t xml:space="preserve">C146239</t>
  </si>
  <si>
    <t xml:space="preserve">C146239 — SRI-PART-C2 — A match on manufacturer shows the FULL value on the row</t>
  </si>
  <si>
    <t xml:space="preserve">C146240</t>
  </si>
  <si>
    <t xml:space="preserve">C146240 — SRI-PART-C3 — A match on vendor name shows the FULL value on the row</t>
  </si>
  <si>
    <t xml:space="preserve">C146251</t>
  </si>
  <si>
    <t xml:space="preserve">C146251 — SRI-VEND-C2 — A match on address line 2 shows the FULL value on the row</t>
  </si>
  <si>
    <t xml:space="preserve">C146262</t>
  </si>
  <si>
    <t xml:space="preserve">C146262 — SRI-PS-C1 — A match on the asset on the sale shows the FULL value on the row</t>
  </si>
  <si>
    <t xml:space="preserve">C146263</t>
  </si>
  <si>
    <t xml:space="preserve">C146263 — SRI-PS-C2 — A match on VIN / serial number shows the FULL value on the row</t>
  </si>
  <si>
    <t xml:space="preserve">C146273</t>
  </si>
  <si>
    <t xml:space="preserve">C146273 — SRI-PO-C3 — A match on created-by user shows the FULL value on the row</t>
  </si>
  <si>
    <t xml:space="preserve">C146274</t>
  </si>
  <si>
    <t xml:space="preserve">C146274 — SRI-PO-C4 — A match on spliced number variants (`number_variants`) shows the F</t>
  </si>
  <si>
    <t xml:space="preserve">C146282</t>
  </si>
  <si>
    <t xml:space="preserve">C146282 — SRI-VINV-C1 — A match on the PO number the invoice belongs to shows the FULL v</t>
  </si>
  <si>
    <t xml:space="preserve">C53476</t>
  </si>
  <si>
    <t xml:space="preserve">C53476 — no count reads higher than 20 [expected to fail: SV-10320]</t>
  </si>
  <si>
    <t xml:space="preserve">Failed in the known way. The fault recorded under SV-10320 is still there.</t>
  </si>
  <si>
    <t xml:space="preserve">SV-10320</t>
  </si>
  <si>
    <t xml:space="preserve">C55716 (customers) — the customer changed most recently is listed first [expected to fail: SV-10340]</t>
  </si>
  <si>
    <t xml:space="preserve">Failed in the known way. The fault recorded under SV-10340 is still there.</t>
  </si>
  <si>
    <t xml:space="preserve">C53601</t>
  </si>
  <si>
    <t xml:space="preserve">C53601 — a catalogue-only part is findable [expected to fail: SV-10001]</t>
  </si>
  <si>
    <t xml:space="preserve">Failed in the known way. The fault recorded under SV-10001 is still there.</t>
  </si>
  <si>
    <t xml:space="preserve">SV-10001</t>
  </si>
  <si>
    <t xml:space="preserve">C53605</t>
  </si>
  <si>
    <t xml:space="preserve">C53605 — year and make typed together find the vehicle [expected to fail: SV-10055]</t>
  </si>
  <si>
    <t xml:space="preserve">Failed in the known way. The fault recorded under SV-10055 is still there.</t>
  </si>
  <si>
    <t xml:space="preserve">SV-10055</t>
  </si>
  <si>
    <t xml:space="preserve">Done</t>
  </si>
  <si>
    <t xml:space="preserve">C55660</t>
  </si>
  <si>
    <t xml:space="preserve">C55660 — a fragment from the middle of a word finds the record [expected to fail: SV-10060]</t>
  </si>
  <si>
    <t xml:space="preserve">Failed in the known way. The fault recorded under SV-10060 is still there.</t>
  </si>
  <si>
    <t xml:space="preserve">SV-10060</t>
  </si>
  <si>
    <t xml:space="preserve">C55685</t>
  </si>
  <si>
    <t xml:space="preserve">C55685 — a correct spelling returns only related records [expected to fail: SV-10025]</t>
  </si>
  <si>
    <t xml:space="preserve">Failed in the known way. The fault recorded under SV-10025 is still there.</t>
  </si>
  <si>
    <t xml:space="preserve">SV-10025</t>
  </si>
  <si>
    <t xml:space="preserve">C146286</t>
  </si>
  <si>
    <t xml:space="preserve">C146286 — no count anywhere reads higher than 20 [expected to fail: SV-10320]</t>
  </si>
  <si>
    <t xml:space="preserve">The known fault recorded under SV-10320 did NOT happen this time — the behaviour may have been fixed.</t>
  </si>
  <si>
    <t xml:space="preserve">The ticket reads OBSOLETE. Confirm by hand that the behaviour is fixed; if it is, this test should stop expecting the fault.</t>
  </si>
  <si>
    <t xml:space="preserve">C146208</t>
  </si>
  <si>
    <t xml:space="preserve">C146208 — a soft match is drawn as a soft match</t>
  </si>
  <si>
    <t xml:space="preserve">the close-match rows carry no highlight at all on this build — the open fault SV-10740. The reader cannot be proved to work on them, so nothing here would be a sound statement about how a soft match is drawn. This starts running again when that fault is fixed.</t>
  </si>
  <si>
    <t xml:space="preserve">Supply what the reason names (a record or a login), then run this case again. Nothing was judged.</t>
  </si>
  <si>
    <t xml:space="preserve">C146223</t>
  </si>
  <si>
    <t xml:space="preserve">C146223 — a soft match is drawn as a soft match</t>
  </si>
  <si>
    <t xml:space="preserve">close-match rows carry no highlight at all on this build — the open fault SV-10740 — so the reader cannot be proved to see one. This starts running again when that fault is fixed.</t>
  </si>
  <si>
    <t xml:space="preserve">C146232</t>
  </si>
  <si>
    <t xml:space="preserve">C146232 — Assets: a soft match is drawn as a soft match</t>
  </si>
  <si>
    <t xml:space="preserve">cannot be judged here: 1 of 1 near-miss rows carry no highlight at all (row 2: "≈ close match: PERTAB-C3 · 2019 ZZOBSIDIAM Trucks Hauler Per"). Either the product marks nothing on them or this reader cannot see the marks — and until that is settled, anything said about HOW they are drawn would be about the reader. Run this one by hand.</t>
  </si>
  <si>
    <t xml:space="preserve">C146244</t>
  </si>
  <si>
    <t xml:space="preserve">C146244 — Parts: a soft match is drawn as a soft match</t>
  </si>
  <si>
    <t xml:space="preserve">cannot be judged here: 1 of 1 near-miss rows carry no highlight at all (row 2: "≈ close match: ZZKRYPTOM Wheel Seal 8 Available PERTAB-7003"). Either the product marks nothing on them or this reader cannot see the marks — and until that is settled, anything said about HOW they are drawn would be about the reader. Run this one by hand.</t>
  </si>
  <si>
    <t xml:space="preserve">C146256</t>
  </si>
  <si>
    <t xml:space="preserve">C146256 — Vendors: a soft match is drawn as a soft match</t>
  </si>
  <si>
    <t xml:space="preserve">cannot be judged here: 1 of 1 near-miss rows carry no highlight at all (row 2: "≈ close match: ZZMAGENTO Traders (264) 400-0700 · 11 Per Tab"). Either the product marks nothing on them or this reader cannot see the marks — and until that is settled, anything said about HOW they are drawn would be about the reader. Run this one by hand.</t>
  </si>
  <si>
    <t xml:space="preserve">C146265</t>
  </si>
  <si>
    <t xml:space="preserve">C146265 — Part Sales: a soft match is drawn as a soft match</t>
  </si>
  <si>
    <t xml:space="preserve">cannot be judged here: 2 of 2 near-miss rows carry no highlight at all (row 2: "≈ close match: P2-2305 ZZSOFTHIP Logistics Estimate Admin Sh"). Either the product marks nothing on them or this reader cannot see the marks — and until that is settled, anything said about HOW they are drawn would be about the reader. Run this one by hand.</t>
  </si>
  <si>
    <t xml:space="preserve">C146276</t>
  </si>
  <si>
    <t xml:space="preserve">C146276 — Purchase Orders: a soft match is drawn as a soft match</t>
  </si>
  <si>
    <t xml:space="preserve">cannot be judged here: 2 of 2 near-miss rows carry no highlight at all (row 2: "≈ close match: I2-1536 ZZSOFTHIP Traders Fulfilled $37.00 · "). Either the product marks nothing on them or this reader cannot see the marks — and until that is settled, anything said about HOW they are drawn would be about the reader. Run this one by hand.</t>
  </si>
  <si>
    <t xml:space="preserve">C146284</t>
  </si>
  <si>
    <t xml:space="preserve">C146284 — Vendor Invoices: a soft match is drawn as a soft match</t>
  </si>
  <si>
    <t xml:space="preserve">cannot be judged here: 2 of 2 near-miss rows carry no highlight at all (row 2: "≈ close match: ZZSH-O_TYPO ZZSOFTHIP Traders Unpaid $37.00 ·"). Either the product marks nothing on them or this reader cannot see the marks — and until that is settled, anything said about HOW they are drawn would be about the reader. Run this one by hand.</t>
  </si>
  <si>
    <t xml:space="preserve">C146291</t>
  </si>
  <si>
    <t xml:space="preserve">C146291 — typing a full record number puts that record at the very top</t>
  </si>
  <si>
    <t xml:space="preserve">the pinned top result was withdrawn by the QA lead on 2026-09-29 — this is not a defect and the check is not asserted</t>
  </si>
  <si>
    <t xml:space="preserve">C45138</t>
  </si>
  <si>
    <t xml:space="preserve">C45138 — unpaid supplier invoices rank above paid ones</t>
  </si>
  <si>
    <t xml:space="preserve">needs both a paid and an unpaid invoice in one result set — mark one paid to run this</t>
  </si>
  <si>
    <t xml:space="preserve">C44839</t>
  </si>
  <si>
    <t xml:space="preserve">C44839 — a misspelled word still finds the record (customerName)</t>
  </si>
  <si>
    <t xml:space="preserve">customerName has no word long enough to damage fairly: ""</t>
  </si>
  <si>
    <t xml:space="preserve">C44840</t>
  </si>
  <si>
    <t xml:space="preserve">C44840 — a misspelled word still finds the record (customerName)</t>
  </si>
  <si>
    <t xml:space="preserve">C44841</t>
  </si>
  <si>
    <t xml:space="preserve">C44841 — a misspelled word still finds the record (assetMake)</t>
  </si>
  <si>
    <t xml:space="preserve">assetMake has no word long enough to damage fairly: ""</t>
  </si>
  <si>
    <t xml:space="preserve">C55727</t>
  </si>
  <si>
    <t xml:space="preserve">C55727 — a dash or apostrophe is optional in a name</t>
  </si>
  <si>
    <t xml:space="preserve">no anchor with a dash or apostrophe on this environment</t>
  </si>
  <si>
    <t xml:space="preserve">C53585</t>
  </si>
  <si>
    <t xml:space="preserve">C53585 — a record is findable by its city</t>
  </si>
  <si>
    <t xml:space="preserve">no customerCity on this environment</t>
  </si>
  <si>
    <t xml:space="preserve">C53604</t>
  </si>
  <si>
    <t xml:space="preserve">C53604 — a record is findable by its postal code</t>
  </si>
  <si>
    <t xml:space="preserve">no customerPost on this environment</t>
  </si>
  <si>
    <t xml:space="preserve">C44837</t>
  </si>
  <si>
    <t xml:space="preserve">C44837 — a record is findable by its the vendor on a part</t>
  </si>
  <si>
    <t xml:space="preserve">no partVendor on this environment</t>
  </si>
  <si>
    <t xml:space="preserve">C146220</t>
  </si>
  <si>
    <t xml:space="preserve">C146220 — a record is findable by its state or province</t>
  </si>
  <si>
    <t xml:space="preserve">C44848</t>
  </si>
  <si>
    <t xml:space="preserve">C44848 — a close match is drawn as a close match</t>
  </si>
  <si>
    <t xml:space="preserve">no long enough anchor to damage</t>
  </si>
  <si>
    <t xml:space="preserve">C53516</t>
  </si>
  <si>
    <t xml:space="preserve">C53516 — typing "OHZZT471" finds it under Assets</t>
  </si>
  <si>
    <t xml:space="preserve">"ZZT-4471" on this environment does not carry "OHZZT471" — its row reads "ZZT-4471 · 2019 Freightliner Cascadia ZZAUTOTEST Bridgeport Hauling". The staging copy did; this one does not, so a miss here would say nothing about the field.</t>
  </si>
  <si>
    <t xml:space="preserve">C53583</t>
  </si>
  <si>
    <t xml:space="preserve">C53583 — typing "bridgeporthauling-zzt.com" finds it under Customers</t>
  </si>
  <si>
    <t xml:space="preserve">"ZZAUTOTEST Bridgeport Hauling" on this environment does not carry "bridgeporthauling-zzt.com" — its row reads "ZZAUTOTEST Bridgeport Hauling 5 open 1450 Kestrelway Industrial, Fernvale, Ohio". The staging copy did; this one does not, so a miss here would say nothing about the field.</t>
  </si>
  <si>
    <t xml:space="preserve">C53584</t>
  </si>
  <si>
    <t xml:space="preserve">C53584 — typing "parts@kestrelsupply-zzt.com" finds it under Vendors</t>
  </si>
  <si>
    <t xml:space="preserve">"ZZAUTOTEST Kestrel Parts Supply" on this environment does not carry "parts@kestrelsupply-zzt.com" — its row reads "ZZAUTOTEST Kestrel Parts Supply (614) 555-0188 · 88 Halbrook Trace, Marnston, Ohio". The staging copy did; this one does not, so a miss here would say nothing about the field.</t>
  </si>
  <si>
    <t xml:space="preserve">C53602</t>
  </si>
  <si>
    <t xml:space="preserve">C53602 — typing "ZZAUTOTESTBridgeportHauling" finds it under Customers</t>
  </si>
  <si>
    <t xml:space="preserve">"ZZAUTOTEST Bridgeport Hauling" on this environment does not carry "ZZAUTOTESTBridgeportHauling" — its row reads "ZZAUTOTEST Bridgeport Hauling 5 open 1450 Kestrelway Industrial, Fernvale, Ohio". The staging copy did; this one does not, so a miss here would say nothing about the field.</t>
  </si>
  <si>
    <t xml:space="preserve">C53603</t>
  </si>
  <si>
    <t xml:space="preserve">C53603 — typing "Dispatch Supervisor" finds it under Customers</t>
  </si>
  <si>
    <t xml:space="preserve">"ZZAUTOTEST Bridgeport Hauling" on this environment does not carry "Dispatch Supervisor" — its row reads "ZZAUTOTEST Bridgeport Hauling 5 open 1450 Kestrelway Industrial, Fernvale, Ohio". The staging copy did; this one does not, so a miss here would say nothing about the field.</t>
  </si>
  <si>
    <t xml:space="preserve">C53606</t>
  </si>
  <si>
    <t xml:space="preserve">C53606 — typing "Ohio" finds it under Vendors</t>
  </si>
  <si>
    <t xml:space="preserve">"Ohio" matches 20 vendors and the list stops at twenty, so "ZZAUTOTEST Kestrel Parts Supply" not being among them says nothing about whether it is findable. Searching its own name does find it.</t>
  </si>
  <si>
    <t xml:space="preserve">C55662</t>
  </si>
  <si>
    <t xml:space="preserve">C55662 — typing "419-555-0143" finds it under Customers</t>
  </si>
  <si>
    <t xml:space="preserve">"ZZAUTOTEST Bridgeport Hauling" on this environment does not carry "419-555-0143" — its row reads "ZZAUTOTEST Bridgeport Hauling 5 open 1450 Kestrelway Industrial, Fernvale, Ohio". The staging copy did; this one does not, so a miss here would say nothing about the field.</t>
  </si>
  <si>
    <t xml:space="preserve">C55664</t>
  </si>
  <si>
    <t xml:space="preserve">C55664 — typing "Cascadia" finds it under Assets</t>
  </si>
  <si>
    <t xml:space="preserve">"Cascadia" matches 20 assets and the list stops at twenty, so "ZZT-4471" not being among them says nothing about whether it is findable. Searching its own name does find it.</t>
  </si>
  <si>
    <t xml:space="preserve">C55669</t>
  </si>
  <si>
    <t xml:space="preserve">C55669 — typing "1FUJGLDR9KLZZ4471" finds it under Assets</t>
  </si>
  <si>
    <t xml:space="preserve">"ZZT-4471" on this environment does not carry "1FUJGLDR9KLZZ4471" — its row reads "ZZT-4471 · 2019 Freightliner Cascadia ZZAUTOTEST Bridgeport Hauling". The staging copy did; this one does not, so a miss here would say nothing about the field.</t>
  </si>
  <si>
    <t xml:space="preserve">C55670</t>
  </si>
  <si>
    <t xml:space="preserve">C55670 — typing "Okonkwo" finds it under Customers</t>
  </si>
  <si>
    <t xml:space="preserve">"ZZAUTOTEST Bridgeport Hauling" on this environment does not carry "Okonkwo" — its row reads "ZZAUTOTEST Bridgeport Hauling 5 open 1450 Kestrelway Industrial, Fernvale, Ohio". The staging copy did; this one does not, so a miss here would say nothing about the field.</t>
  </si>
  <si>
    <t xml:space="preserve">C44879</t>
  </si>
  <si>
    <t xml:space="preserve">C44879 — without Work Orders access, no work orders appear</t>
  </si>
  <si>
    <t xml:space="preserve">the lower-permission login now HOLDS Work Orders access, so it cannot show the absence this case is about. It holds: customersView, scheduleView, woPickParts, workOrderLinesCreateAndEdit, workOrdersView, woTechViewMode. Point GS_LIMITED_ENVF at a login without Work Orders.</t>
  </si>
  <si>
    <t xml:space="preserve">C55732</t>
  </si>
  <si>
    <t xml:space="preserve">C55732 — Work Orders: the same record is shown to one person and withheld from the other</t>
  </si>
  <si>
    <t xml:space="preserve">this pair of logins cannot show the difference for Work Orders: full has it = true, lower-permission has it = true. Both must differ for the comparison to mean anything.</t>
  </si>
  <si>
    <t xml:space="preserve">C55733</t>
  </si>
  <si>
    <t xml:space="preserve">C55733 — Customers: the same record is shown to one person and withheld from the other</t>
  </si>
  <si>
    <t xml:space="preserve">this pair of logins cannot show the difference for Customers: full has it = true, lower-permission has it = true. Both must differ for the comparison to mean anything.</t>
  </si>
  <si>
    <t xml:space="preserve">C44882</t>
  </si>
  <si>
    <t xml:space="preserve">C44882 — the counts and tabs are hidden with the group, not just the rows</t>
  </si>
  <si>
    <t xml:space="preserve">the lower-permission login holds every area, so nothing should be hidden</t>
  </si>
  <si>
    <t xml:space="preserve">C55720</t>
  </si>
  <si>
    <t xml:space="preserve">C55720 — several missing areas are all hidden, and the rest still work</t>
  </si>
  <si>
    <t xml:space="preserve">this login is not a mixed case: it keeps 3 areas and lacks 0</t>
  </si>
  <si>
    <t xml:space="preserve">C55737</t>
  </si>
  <si>
    <t xml:space="preserve">C55737 — records a person cannot see are not counted anywhere</t>
  </si>
  <si>
    <t xml:space="preserve">the lower-permission login is not short of any area</t>
  </si>
  <si>
    <t xml:space="preserve">C55719</t>
  </si>
  <si>
    <t xml:space="preserve">C55719 — a contact match does not surface a company you may not see</t>
  </si>
  <si>
    <t xml:space="preserve">both logins hold Customers access, so a hidden parent company cannot be demonstrated with this pair</t>
  </si>
  <si>
    <t xml:space="preserve">C72120</t>
  </si>
  <si>
    <t xml:space="preserve">C72120 — Parts: a name starting with the query ranks above one that only contains it</t>
  </si>
  <si>
    <t xml:space="preserve">no query tried produces a fair pair in Parts on this environment — it needs one row whose name STARTS with the query and one that only CONTAINS it. Nothing is proved either way.</t>
  </si>
  <si>
    <t xml:space="preserve">C72121</t>
  </si>
  <si>
    <t xml:space="preserve">C72121 — Vendors: a name starting with the query ranks above one that only contains it</t>
  </si>
  <si>
    <t xml:space="preserve">no query tried produces a fair pair in Vendors on this environment — it needs one row whose name STARTS with the query and one that only CONTAINS it. Nothing is proved either way.</t>
  </si>
  <si>
    <t xml:space="preserve">C72122</t>
  </si>
  <si>
    <t xml:space="preserve">C72122 — Assets: a name starting with the query ranks above one that only contains it</t>
  </si>
  <si>
    <t xml:space="preserve">no query tried produces a fair pair in Assets on this environment — it needs one row whose name STARTS with the query and one that only CONTAINS it. Nothing is proved either way.</t>
  </si>
  <si>
    <t xml:space="preserve">C55707</t>
  </si>
  <si>
    <t xml:space="preserve">C55707 — a name match ranks above a whole-word match, which ranks above a close match</t>
  </si>
  <si>
    <t xml:space="preserve">no single group came back holding both an exact and a close match for "service", so the boundary between them cannot be seen</t>
  </si>
  <si>
    <t xml:space="preserve">C55724 — with everything else equal, the prefix match comes first</t>
  </si>
  <si>
    <t xml:space="preserve">no fair pair in the All view for "service" — one row must START with it and another only CONTAIN it</t>
  </si>
  <si>
    <t xml:space="preserve">C44851</t>
  </si>
  <si>
    <t xml:space="preserve">C44851 — within a group, exact matches come before close ones</t>
  </si>
  <si>
    <t xml:space="preserve">no group came back holding both an exact and a close match, so order within a group cannot be judged</t>
  </si>
  <si>
    <t xml:space="preserve">C55711</t>
  </si>
  <si>
    <t xml:space="preserve">C55711 — Part sales: what is relevant to where you are is still found from there</t>
  </si>
  <si>
    <t xml:space="preserve">the panel will not open on this record page</t>
  </si>
  <si>
    <t xml:space="preserve">C45150</t>
  </si>
  <si>
    <t xml:space="preserve">C45150 — results never include another organization's records</t>
  </si>
  <si>
    <t xml:space="preserve">the results carry no workplace on them, so this cannot be judged from the response</t>
  </si>
  <si>
    <t xml:space="preserve">C146205 — Work orders: a match on a line item description shows the full value on the row</t>
  </si>
  <si>
    <t xml:space="preserve">no work orders record on this environment carries a line item description, so there is nothing to match on</t>
  </si>
  <si>
    <t xml:space="preserve">C44874</t>
  </si>
  <si>
    <t xml:space="preserve">C44874 — typing in the Work Orders list filters the list and keeps the term in the box</t>
  </si>
  <si>
    <t xml:space="preserve">the Work Orders page offers no filter box on this build</t>
  </si>
  <si>
    <t xml:space="preserve">C44875</t>
  </si>
  <si>
    <t xml:space="preserve">C44875 — clearing it restores the full list</t>
  </si>
  <si>
    <t xml:space="preserve">C146263 — Part sales: a match on VIN or serial number shows the full value on the row</t>
  </si>
  <si>
    <t xml:space="preserve">no Part sales row came back highlighted for the VIN or serial number "SVEWU82M5ETEJFWFA"</t>
  </si>
  <si>
    <t xml:space="preserve">C146271 — Purchase orders: a match on part number shows the full value on the row</t>
  </si>
  <si>
    <t xml:space="preserve">no Purchase orders row came back highlighted for the part number "ZZBIN-auto-1790328807968"</t>
  </si>
  <si>
    <t xml:space="preserve">C55726</t>
  </si>
  <si>
    <t xml:space="preserve">C55726 — an accented name matches with or without the accent</t>
  </si>
  <si>
    <t xml:space="preserve">no customer on this environment has an accented name, so there is nothing to compare</t>
  </si>
  <si>
    <t xml:space="preserve">C55730</t>
  </si>
  <si>
    <t xml:space="preserve">C55730 — a record below the top twenty is not shown until the query is narrowed</t>
  </si>
  <si>
    <t xml:space="preserve">no kind has more than twenty matches here, so the cap cannot be demonstrated</t>
  </si>
  <si>
    <t xml:space="preserve">C44880</t>
  </si>
  <si>
    <t xml:space="preserve">C44880 — results are limited to the signed-in person's own workplace</t>
  </si>
  <si>
    <t xml:space="preserve">the signed-in workplace could not be read, so cross-workplace leakage cannot be judged</t>
  </si>
  <si>
    <t xml:space="preserve">C146228 — Assets: two rows with the same first line differ somewhere you can see</t>
  </si>
  <si>
    <t xml:space="preserve">no two assets rows share a first line for "service", so this cannot be demonstrated here</t>
  </si>
  <si>
    <t xml:space="preserve">C146249</t>
  </si>
  <si>
    <t xml:space="preserve">C146249 — Vendors: two rows with the same first line differ somewhere you can see</t>
  </si>
  <si>
    <t xml:space="preserve">no two vendors rows share a first line for "service", so this cannot be demonstrated here</t>
  </si>
  <si>
    <t xml:space="preserve">C146261</t>
  </si>
  <si>
    <t xml:space="preserve">C146261 — Part sales: two rows with the same first line differ somewhere you can see</t>
  </si>
  <si>
    <t xml:space="preserve">no two part sales rows share a first line for "service", so this cannot be demonstrated here</t>
  </si>
  <si>
    <t xml:space="preserve">C146270</t>
  </si>
  <si>
    <t xml:space="preserve">C146270 — Purchase orders: two rows with the same first line differ somewhere you can see</t>
  </si>
  <si>
    <t xml:space="preserve">no two purchase orders rows share a first line for "service", so this cannot be demonstrated here</t>
  </si>
  <si>
    <t xml:space="preserve">C146281</t>
  </si>
  <si>
    <t xml:space="preserve">C146281 — Vendor invoices: two rows with the same first line differ somewhere you can see</t>
  </si>
  <si>
    <t xml:space="preserve">no two vendor invoices rows share a first line for "service", so this cannot be demonstrated here</t>
  </si>
  <si>
    <t xml:space="preserve">C146238 — Parts: a match on bin location shows the full value on the row</t>
  </si>
  <si>
    <t xml:space="preserve">no parts record on this environment has a bin location recorded, so there is nothing to match on</t>
  </si>
  <si>
    <t xml:space="preserve">C146242 — Parts: a match on tags shows the full value on the row</t>
  </si>
  <si>
    <t xml:space="preserve">searching the tags "WRONG, DO NOT USE" returns nothing. Either that field is not indexed or no row displays it; either way this needs a human to judge, so it is not being called a defect here.</t>
  </si>
  <si>
    <t xml:space="preserve">C146250</t>
  </si>
  <si>
    <t xml:space="preserve">C146250 — Vendors: a match on email address shows the full value on the row</t>
  </si>
  <si>
    <t xml:space="preserve">no vendors record on this environment has a email address recorded, so there is nothing to match on</t>
  </si>
  <si>
    <t xml:space="preserve">C146204</t>
  </si>
  <si>
    <t xml:space="preserve">C146204 — Work orders: a match on service advisor name shows the full value on the row</t>
  </si>
  <si>
    <t xml:space="preserve">no work orders record on this environment has a service advisor name recorded, so there is nothing to match on</t>
  </si>
  <si>
    <t xml:space="preserve">C45154</t>
  </si>
  <si>
    <t xml:space="preserve">C45154 — selecting the record you are already looking at does not reload the page</t>
  </si>
  <si>
    <t xml:space="preserve">the record whose page is open does not come back in its own search results, so there is no way to re-select it from here</t>
  </si>
  <si>
    <t xml:space="preserve">C44827</t>
  </si>
  <si>
    <t xml:space="preserve">C44827 — groups appear in the order the requirement fixes</t>
  </si>
  <si>
    <t xml:space="preserve">fewer than two groups came back, so order cannot be judged</t>
  </si>
  <si>
    <t xml:space="preserve">C44830</t>
  </si>
  <si>
    <t xml:space="preserve">C44830 — groups appear in the order the requirement fixes</t>
  </si>
  <si>
    <t xml:space="preserve">C146197</t>
  </si>
  <si>
    <t xml:space="preserve">C146197 — the whole WO number is shown, with what you typed marked inside it</t>
  </si>
  <si>
    <t xml:space="preserve">Passed.</t>
  </si>
  <si>
    <t xml:space="preserve">C146198</t>
  </si>
  <si>
    <t xml:space="preserve">C146198 — nothing cut off has eaten the match or what tells the rows apart</t>
  </si>
  <si>
    <t xml:space="preserve">C146199</t>
  </si>
  <si>
    <t xml:space="preserve">C146199 — the highlight marks the match inside the text, not instead of it</t>
  </si>
  <si>
    <t xml:space="preserve">C146200</t>
  </si>
  <si>
    <t xml:space="preserve">C146200 — two records sharing the typed text can be told apart from the rows alone</t>
  </si>
  <si>
    <t xml:space="preserve">C146201</t>
  </si>
  <si>
    <t xml:space="preserve">C146201 — rows with the same bold line still differ somewhere you can see</t>
  </si>
  <si>
    <t xml:space="preserve">C146207</t>
  </si>
  <si>
    <t xml:space="preserve">C146207 — the row shows every field the requirement names</t>
  </si>
  <si>
    <t xml:space="preserve">C146204 — SRI-WO-C3 — A match on service advisor name shows the FULL value on the row</t>
  </si>
  <si>
    <t xml:space="preserve">C146220 — SRI-CUST-C7 — A match on state / province shows the FULL value on the row</t>
  </si>
  <si>
    <t xml:space="preserve">C146221</t>
  </si>
  <si>
    <t xml:space="preserve">C146221 — SRI-CUST-C8 — A match on postal code shows the FULL value on the row</t>
  </si>
  <si>
    <t xml:space="preserve">C146241</t>
  </si>
  <si>
    <t xml:space="preserve">C146241 — SRI-PART-C4 — A match on category shows the FULL value on the row</t>
  </si>
  <si>
    <t xml:space="preserve">C146250 — SRI-VEND-C1 — A match on email address shows the FULL value on the row</t>
  </si>
  <si>
    <t xml:space="preserve">C146210</t>
  </si>
  <si>
    <t xml:space="preserve">C146210 — nothing cut off has eaten the match or what tells the rows apart</t>
  </si>
  <si>
    <t xml:space="preserve">C146211</t>
  </si>
  <si>
    <t xml:space="preserve">C146211 — the highlight marks the match inside the text, not instead of it</t>
  </si>
  <si>
    <t xml:space="preserve">C146212</t>
  </si>
  <si>
    <t xml:space="preserve">C146212 — two customers sharing the typed text can be told apart from the rows alone</t>
  </si>
  <si>
    <t xml:space="preserve">C146224</t>
  </si>
  <si>
    <t xml:space="preserve">C146224 — Assets: the whole unit number is shown, with the typed part marked inside it</t>
  </si>
  <si>
    <t xml:space="preserve">C146257</t>
  </si>
  <si>
    <t xml:space="preserve">C146257 — Part Sales: the whole P-number is shown, with the typed part marked inside it</t>
  </si>
  <si>
    <t xml:space="preserve">C146277</t>
  </si>
  <si>
    <t xml:space="preserve">C146277 — Vendor Invoices: the whole invoice number is shown, with the typed part marked inside it</t>
  </si>
  <si>
    <t xml:space="preserve">C146225</t>
  </si>
  <si>
    <t xml:space="preserve">C146225 — Assets: nothing cut off has eaten the match or what separates the rows</t>
  </si>
  <si>
    <t xml:space="preserve">C146234</t>
  </si>
  <si>
    <t xml:space="preserve">C146234 — Parts: nothing cut off has eaten the match or what separates the rows</t>
  </si>
  <si>
    <t xml:space="preserve">C146246</t>
  </si>
  <si>
    <t xml:space="preserve">C146246 — Vendors: nothing cut off has eaten the match or what separates the rows</t>
  </si>
  <si>
    <t xml:space="preserve">C146258</t>
  </si>
  <si>
    <t xml:space="preserve">C146258 — Part Sales: nothing cut off has eaten the match or what separates the rows</t>
  </si>
  <si>
    <t xml:space="preserve">C146267</t>
  </si>
  <si>
    <t xml:space="preserve">C146267 — Purchase Orders: nothing cut off has eaten the match or what separates the rows</t>
  </si>
  <si>
    <t xml:space="preserve">C146278</t>
  </si>
  <si>
    <t xml:space="preserve">C146278 — Vendor Invoices: nothing cut off has eaten the match or what separates the rows</t>
  </si>
  <si>
    <t xml:space="preserve">C146226</t>
  </si>
  <si>
    <t xml:space="preserve">C146226 — Assets: the highlight marks the match inside the text, not instead of it</t>
  </si>
  <si>
    <t xml:space="preserve">C146259</t>
  </si>
  <si>
    <t xml:space="preserve">C146259 — Part Sales: the highlight marks the match inside the text, not instead of it</t>
  </si>
  <si>
    <t xml:space="preserve">C146279</t>
  </si>
  <si>
    <t xml:space="preserve">C146279 — Vendor Invoices: the highlight marks the match inside the text, not instead of it</t>
  </si>
  <si>
    <t xml:space="preserve">C146236</t>
  </si>
  <si>
    <t xml:space="preserve">C146236 — Parts: two records sharing the typed text can be told apart</t>
  </si>
  <si>
    <t xml:space="preserve">C146248</t>
  </si>
  <si>
    <t xml:space="preserve">C146248 — Vendors: two records sharing the typed text can be told apart</t>
  </si>
  <si>
    <t xml:space="preserve">C146260</t>
  </si>
  <si>
    <t xml:space="preserve">C146260 — Part Sales: two records sharing the typed text can be told apart</t>
  </si>
  <si>
    <t xml:space="preserve">C146269</t>
  </si>
  <si>
    <t xml:space="preserve">C146269 — Purchase Orders: two records sharing the typed text can be told apart</t>
  </si>
  <si>
    <t xml:space="preserve">C146280</t>
  </si>
  <si>
    <t xml:space="preserve">C146280 — Vendor Invoices: two records sharing the typed text can be told apart</t>
  </si>
  <si>
    <t xml:space="preserve">C146237</t>
  </si>
  <si>
    <t xml:space="preserve">C146237 — Parts: records with the same bold line differ somewhere you can see</t>
  </si>
  <si>
    <t xml:space="preserve">C146249 — Vendors: records with the same bold line differ somewhere you can see</t>
  </si>
  <si>
    <t xml:space="preserve">C146261 — Part Sales: records with the same bold line differ somewhere you can see</t>
  </si>
  <si>
    <t xml:space="preserve">C146270 — Purchase Orders: records with the same bold line differ somewhere you can see</t>
  </si>
  <si>
    <t xml:space="preserve">C146281 — Vendor Invoices: records with the same bold line differ somewhere you can see</t>
  </si>
  <si>
    <t xml:space="preserve">C146231</t>
  </si>
  <si>
    <t xml:space="preserve">C146231 — Assets: the row shows every field the requirement names</t>
  </si>
  <si>
    <t xml:space="preserve">C146243</t>
  </si>
  <si>
    <t xml:space="preserve">C146243 — Parts: the row shows every field the requirement names</t>
  </si>
  <si>
    <t xml:space="preserve">C146255</t>
  </si>
  <si>
    <t xml:space="preserve">C146255 — Vendors: the row shows every field the requirement names</t>
  </si>
  <si>
    <t xml:space="preserve">C146264</t>
  </si>
  <si>
    <t xml:space="preserve">C146264 — Part Sales: the row shows every field the requirement names</t>
  </si>
  <si>
    <t xml:space="preserve">C146275</t>
  </si>
  <si>
    <t xml:space="preserve">C146275 — Purchase Orders: the row shows every field the requirement names</t>
  </si>
  <si>
    <t xml:space="preserve">C146283</t>
  </si>
  <si>
    <t xml:space="preserve">C146283 — Vendor Invoices: the row shows every field the requirement names</t>
  </si>
  <si>
    <t xml:space="preserve">C146285</t>
  </si>
  <si>
    <t xml:space="preserve">C146285 — a tab's count equals the number of rows inside it</t>
  </si>
  <si>
    <t xml:space="preserve">C146287</t>
  </si>
  <si>
    <t xml:space="preserve">C146287 — a group on the All tab shows 5 and offers the rest</t>
  </si>
  <si>
    <t xml:space="preserve">C146288</t>
  </si>
  <si>
    <t xml:space="preserve">C146288 — "Show all" opens that tab and keeps you in the search box</t>
  </si>
  <si>
    <t xml:space="preserve">C146289</t>
  </si>
  <si>
    <t xml:space="preserve">C146289 — all nine tabs are there, named and counted</t>
  </si>
  <si>
    <t xml:space="preserve">C146290</t>
  </si>
  <si>
    <t xml:space="preserve">C146290 — groups on the All tab are always in the same order</t>
  </si>
  <si>
    <t xml:space="preserve">C146292</t>
  </si>
  <si>
    <t xml:space="preserve">C146292 — a number is found with and without its dashes</t>
  </si>
  <si>
    <t xml:space="preserve">C146293</t>
  </si>
  <si>
    <t xml:space="preserve">C146293 — a phone number is found however it is punctuated</t>
  </si>
  <si>
    <t xml:space="preserve">C146294</t>
  </si>
  <si>
    <t xml:space="preserve">C146294 — an accented name is found typed either way</t>
  </si>
  <si>
    <t xml:space="preserve">C146295</t>
  </si>
  <si>
    <t xml:space="preserve">C146295 — an apostrophe or hyphen in a name is optional</t>
  </si>
  <si>
    <t xml:space="preserve">C146296</t>
  </si>
  <si>
    <t xml:space="preserve">C146296 — a typo in a NUMBER is not silently corrected</t>
  </si>
  <si>
    <t xml:space="preserve">C146297</t>
  </si>
  <si>
    <t xml:space="preserve">C146297 — typing a status word returns nothing because of status</t>
  </si>
  <si>
    <t xml:space="preserve">C146298</t>
  </si>
  <si>
    <t xml:space="preserve">C146298 — a work order whose truck has no unit number still reads properly</t>
  </si>
  <si>
    <t xml:space="preserve">C146299</t>
  </si>
  <si>
    <t xml:space="preserve">C146299 — a very long value does not push the rest of the row out of sight</t>
  </si>
  <si>
    <t xml:space="preserve">C146300</t>
  </si>
  <si>
    <t xml:space="preserve">C146300 — a very common word still gives a usable list</t>
  </si>
  <si>
    <t xml:space="preserve">C146302</t>
  </si>
  <si>
    <t xml:space="preserve">C146302 — a kind of record that does not exist yet does not break search</t>
  </si>
  <si>
    <t xml:space="preserve">C146303</t>
  </si>
  <si>
    <t xml:space="preserve">C146303 — no results shows your query back, and nothing else</t>
  </si>
  <si>
    <t xml:space="preserve">C146304</t>
  </si>
  <si>
    <t xml:space="preserve">C146304 — no results inside a tab names the tab</t>
  </si>
  <si>
    <t xml:space="preserve">C146305</t>
  </si>
  <si>
    <t xml:space="preserve">C146305 — a record you can open from its own list is never "not found"</t>
  </si>
  <si>
    <t xml:space="preserve">C146301</t>
  </si>
  <si>
    <t xml:space="preserve">C146301 — [HELD: the source is silent] what one or two characters do</t>
  </si>
  <si>
    <t xml:space="preserve">C44804</t>
  </si>
  <si>
    <t xml:space="preserve">C44804 — the keyboard shortcut opens a centered box, not one anchored to the header</t>
  </si>
  <si>
    <t xml:space="preserve">C44805</t>
  </si>
  <si>
    <t xml:space="preserve">C44805 — clicking the header field opens the same centered box</t>
  </si>
  <si>
    <t xml:space="preserve">C44806</t>
  </si>
  <si>
    <t xml:space="preserve">C44806 — Esc closes it</t>
  </si>
  <si>
    <t xml:space="preserve">C44807</t>
  </si>
  <si>
    <t xml:space="preserve">C44807 — the shortcut pressed again closes it</t>
  </si>
  <si>
    <t xml:space="preserve">C44808</t>
  </si>
  <si>
    <t xml:space="preserve">C44808 — clicking the dimmed page behind it closes it</t>
  </si>
  <si>
    <t xml:space="preserve">C44812</t>
  </si>
  <si>
    <t xml:space="preserve">C44812 — Tab reaches the scope tab strip and the arrows cycle it</t>
  </si>
  <si>
    <t xml:space="preserve">C44813</t>
  </si>
  <si>
    <t xml:space="preserve">C44813 — the footer legend stays visible in every state</t>
  </si>
  <si>
    <t xml:space="preserve">C137996</t>
  </si>
  <si>
    <t xml:space="preserve">C137996 — the clear control appears only once something is typed</t>
  </si>
  <si>
    <t xml:space="preserve">C44814</t>
  </si>
  <si>
    <t xml:space="preserve">C44814 — the tab strip lists All and the eight entity tabs, in order</t>
  </si>
  <si>
    <t xml:space="preserve">C55683</t>
  </si>
  <si>
    <t xml:space="preserve">C55683 — the shortcut is written on the header field before it is clicked</t>
  </si>
  <si>
    <t xml:space="preserve">C45142</t>
  </si>
  <si>
    <t xml:space="preserve">C45142 — no work-order access means no jobs in search</t>
  </si>
  <si>
    <t xml:space="preserve">C44844</t>
  </si>
  <si>
    <t xml:space="preserve">C44844 — a damaged assetVin does NOT come back (identifiers bypass fuzzy)</t>
  </si>
  <si>
    <t xml:space="preserve">C44846</t>
  </si>
  <si>
    <t xml:space="preserve">C44846 — a damaged partNumber does NOT come back (identifiers bypass fuzzy)</t>
  </si>
  <si>
    <t xml:space="preserve">C44849</t>
  </si>
  <si>
    <t xml:space="preserve">C44849 — a damaged partSaleNo does NOT come back (identifiers bypass fuzzy)</t>
  </si>
  <si>
    <t xml:space="preserve">C44847</t>
  </si>
  <si>
    <t xml:space="preserve">C44847 — a damaged poNumber does NOT come back (identifiers bypass fuzzy)</t>
  </si>
  <si>
    <t xml:space="preserve">C55659</t>
  </si>
  <si>
    <t xml:space="preserve">C55659 — part of a number still finds the record</t>
  </si>
  <si>
    <t xml:space="preserve">C44864</t>
  </si>
  <si>
    <t xml:space="preserve">C44864 — nothing found says so, and says nothing else</t>
  </si>
  <si>
    <t xml:space="preserve">C55725</t>
  </si>
  <si>
    <t xml:space="preserve">C55725 — an unrelated query returns no close matches either</t>
  </si>
  <si>
    <t xml:space="preserve">C55713</t>
  </si>
  <si>
    <t xml:space="preserve">C55713 — a very short query does not spray noisy close matches</t>
  </si>
  <si>
    <t xml:space="preserve">C55661</t>
  </si>
  <si>
    <t xml:space="preserve">C55661 — a query matching several kinds shows every kind</t>
  </si>
  <si>
    <t xml:space="preserve">C44838</t>
  </si>
  <si>
    <t xml:space="preserve">C44838 — status and stock badges appear on the rows that carry them</t>
  </si>
  <si>
    <t xml:space="preserve">seed control — the regression dataset is present</t>
  </si>
  <si>
    <t xml:space="preserve">C53578</t>
  </si>
  <si>
    <t xml:space="preserve">C53578 — typing "Bridgeport" finds it under Work orders</t>
  </si>
  <si>
    <t xml:space="preserve">C53580</t>
  </si>
  <si>
    <t xml:space="preserve">C53580 — typing "ZZT-4471" finds it under Assets</t>
  </si>
  <si>
    <t xml:space="preserve">C53581</t>
  </si>
  <si>
    <t xml:space="preserve">C53581 — typing "Bridgeport" finds it under Assets</t>
  </si>
  <si>
    <t xml:space="preserve">C53607</t>
  </si>
  <si>
    <t xml:space="preserve">C53607 — typing "Kestrel" finds it under Parts</t>
  </si>
  <si>
    <t xml:space="preserve">C55663</t>
  </si>
  <si>
    <t xml:space="preserve">C55663 — typing "(614) 555-0188" finds it under Vendors</t>
  </si>
  <si>
    <t xml:space="preserve">C55665</t>
  </si>
  <si>
    <t xml:space="preserve">C55665 — typing "Bridgeport" finds it under Part sales</t>
  </si>
  <si>
    <t xml:space="preserve">C55666</t>
  </si>
  <si>
    <t xml:space="preserve">C55666 — typing "ZZT-88-4412" finds it under Parts</t>
  </si>
  <si>
    <t xml:space="preserve">C55667</t>
  </si>
  <si>
    <t xml:space="preserve">C55667 — typing "Bridgeport" finds it under Customers</t>
  </si>
  <si>
    <t xml:space="preserve">C55668</t>
  </si>
  <si>
    <t xml:space="preserve">C55668 — typing "Kestrel" finds it under Vendors</t>
  </si>
  <si>
    <t xml:space="preserve">C55671</t>
  </si>
  <si>
    <t xml:space="preserve">C55671 — capitals never change what is found</t>
  </si>
  <si>
    <t xml:space="preserve">C55688</t>
  </si>
  <si>
    <t xml:space="preserve">C55688 — typing a make returns only that make</t>
  </si>
  <si>
    <t xml:space="preserve">C55689</t>
  </si>
  <si>
    <t xml:space="preserve">C55689 — typing a year returns only that year</t>
  </si>
  <si>
    <t xml:space="preserve">C45156</t>
  </si>
  <si>
    <t xml:space="preserve">C45156 — the keyboard shortcut opens it with the field ready to type</t>
  </si>
  <si>
    <t xml:space="preserve">C45161</t>
  </si>
  <si>
    <t xml:space="preserve">C45161 — one character runs no search, two characters do</t>
  </si>
  <si>
    <t xml:space="preserve">C45155</t>
  </si>
  <si>
    <t xml:space="preserve">C45155 — the group is called Assets, never Vehicles</t>
  </si>
  <si>
    <t xml:space="preserve">C55675</t>
  </si>
  <si>
    <t xml:space="preserve">C55675 — a search that matches nothing says so</t>
  </si>
  <si>
    <t xml:space="preserve">C55673</t>
  </si>
  <si>
    <t xml:space="preserve">C55673 — Enter opens the top result with no arrow key first</t>
  </si>
  <si>
    <t xml:space="preserve">C55680</t>
  </si>
  <si>
    <t xml:space="preserve">C55680 — arrowing moves through rows and never lands on a heading</t>
  </si>
  <si>
    <t xml:space="preserve">C55682</t>
  </si>
  <si>
    <t xml:space="preserve">C55682 — every row carries an icon, one per record type</t>
  </si>
  <si>
    <t xml:space="preserve">C45157</t>
  </si>
  <si>
    <t xml:space="preserve">C45157 — a record matching more than once is listed once</t>
  </si>
  <si>
    <t xml:space="preserve">C53589</t>
  </si>
  <si>
    <t xml:space="preserve">C53589 — typing through a search in flight loses nothing</t>
  </si>
  <si>
    <t xml:space="preserve">C44861</t>
  </si>
  <si>
    <t xml:space="preserve">C44861 — the query is kept after closing and restored on reopening</t>
  </si>
  <si>
    <t xml:space="preserve">C44878</t>
  </si>
  <si>
    <t xml:space="preserve">C44878 — without Parts access, no parts appear</t>
  </si>
  <si>
    <t xml:space="preserve">C45145</t>
  </si>
  <si>
    <t xml:space="preserve">C45145 — without Vendor &amp; Order Management access, no vendors appear</t>
  </si>
  <si>
    <t xml:space="preserve">C55704</t>
  </si>
  <si>
    <t xml:space="preserve">C55704 — without Part Sales access, no part sales appear</t>
  </si>
  <si>
    <t xml:space="preserve">C55731</t>
  </si>
  <si>
    <t xml:space="preserve">C55731 — Parts: the same record is shown to one person and withheld from the other</t>
  </si>
  <si>
    <t xml:space="preserve">C55734</t>
  </si>
  <si>
    <t xml:space="preserve">C55734 — Part Sales: the same record is shown to one person and withheld from the other</t>
  </si>
  <si>
    <t xml:space="preserve">C55735</t>
  </si>
  <si>
    <t xml:space="preserve">C55735 — Vendor &amp; Order Management: the same record is shown to one person and withheld from the other</t>
  </si>
  <si>
    <t xml:space="preserve">C44881</t>
  </si>
  <si>
    <t xml:space="preserve">C44881 — a kind with nothing the person may see shows no group at all</t>
  </si>
  <si>
    <t xml:space="preserve">C55718</t>
  </si>
  <si>
    <t xml:space="preserve">C55718 — typing the exact number of a record you may not see does not surface it</t>
  </si>
  <si>
    <t xml:space="preserve">C55721</t>
  </si>
  <si>
    <t xml:space="preserve">C55721 — a near-miss spelling does not leak a record you may not see</t>
  </si>
  <si>
    <t xml:space="preserve">C55717</t>
  </si>
  <si>
    <t xml:space="preserve">C55717 — the recent list only shows records the person can still open</t>
  </si>
  <si>
    <t xml:space="preserve">C45149</t>
  </si>
  <si>
    <t xml:space="preserve">C45149 — recent items the person can no longer reach are hidden</t>
  </si>
  <si>
    <t xml:space="preserve">C45148</t>
  </si>
  <si>
    <t xml:space="preserve">C45148 — a kind the person is not permitted to see is not listed at all</t>
  </si>
  <si>
    <t xml:space="preserve">C44860</t>
  </si>
  <si>
    <t xml:space="preserve">C44860 — opening a record records it, and the recent list is per person</t>
  </si>
  <si>
    <t xml:space="preserve">C44852</t>
  </si>
  <si>
    <t xml:space="preserve">C44852 — in-stock parts rank above out-of-stock ones, and out-of-stock are still shown</t>
  </si>
  <si>
    <t xml:space="preserve">C53588</t>
  </si>
  <si>
    <t xml:space="preserve">C53588 — more recent work orders rank above older ones of equal relevance</t>
  </si>
  <si>
    <t xml:space="preserve">C45128</t>
  </si>
  <si>
    <t xml:space="preserve">C45128 — Clear all empties the history and returns to the first-time state</t>
  </si>
  <si>
    <t xml:space="preserve">C55674</t>
  </si>
  <si>
    <t xml:space="preserve">C55674 — search can be reached on a tablet as well as a desktop</t>
  </si>
  <si>
    <t xml:space="preserve">C45135</t>
  </si>
  <si>
    <t xml:space="preserve">C45135 — the first-time state on a tablet matches the web one, with no quick-create buttons</t>
  </si>
  <si>
    <t xml:space="preserve">C44850</t>
  </si>
  <si>
    <t xml:space="preserve">C44850 — an exact identifier match is pinned as a single row at the very top</t>
  </si>
  <si>
    <t xml:space="preserve">C55729</t>
  </si>
  <si>
    <t xml:space="preserve">C55729 — an exact identifier match is pinned at the top even when a strong name match exists</t>
  </si>
  <si>
    <t xml:space="preserve">C44853</t>
  </si>
  <si>
    <t xml:space="preserve">C44853 — Customers: what is relevant to where you are is still found from there</t>
  </si>
  <si>
    <t xml:space="preserve">C44854</t>
  </si>
  <si>
    <t xml:space="preserve">C44854 — Work orders: what is relevant to where you are is still found from there</t>
  </si>
  <si>
    <t xml:space="preserve">C55708</t>
  </si>
  <si>
    <t xml:space="preserve">C55708 — Customers: what is relevant to where you are is still found from there</t>
  </si>
  <si>
    <t xml:space="preserve">C55709</t>
  </si>
  <si>
    <t xml:space="preserve">C55709 — Assets: what is relevant to where you are is still found from there</t>
  </si>
  <si>
    <t xml:space="preserve">C55710</t>
  </si>
  <si>
    <t xml:space="preserve">C55710 — Vendors: what is relevant to where you are is still found from there</t>
  </si>
  <si>
    <t xml:space="preserve">C55722</t>
  </si>
  <si>
    <t xml:space="preserve">C55722 — Customers: what is relevant to where you are is still found from there</t>
  </si>
  <si>
    <t xml:space="preserve">C44899</t>
  </si>
  <si>
    <t xml:space="preserve">C44899 — purchase orders are searchable and show a real number</t>
  </si>
  <si>
    <t xml:space="preserve">C44900</t>
  </si>
  <si>
    <t xml:space="preserve">C44900 — vendor invoices are searchable and carry a payment state</t>
  </si>
  <si>
    <t xml:space="preserve">C146262 — Part sales: a match on the asset on the sale shows the full value on the row</t>
  </si>
  <si>
    <t xml:space="preserve">C55736</t>
  </si>
  <si>
    <t xml:space="preserve">C55736 — a vendor invoice row keeps its row when the total is not shown</t>
  </si>
  <si>
    <t xml:space="preserve">C44857</t>
  </si>
  <si>
    <t xml:space="preserve">C44857 — recent activity is grouped by how long ago it was</t>
  </si>
  <si>
    <t xml:space="preserve">C44858</t>
  </si>
  <si>
    <t xml:space="preserve">C44858 — recent activity mixes record kinds in the same row template</t>
  </si>
  <si>
    <t xml:space="preserve">C44859</t>
  </si>
  <si>
    <t xml:space="preserve">C44859 — clicking a recent item opens that record</t>
  </si>
  <si>
    <t xml:space="preserve">C44865</t>
  </si>
  <si>
    <t xml:space="preserve">C44865 — no results inside a tab names the tab as well as the query</t>
  </si>
  <si>
    <t xml:space="preserve">C44898</t>
  </si>
  <si>
    <t xml:space="preserve">C44898 — global search works at a phone size</t>
  </si>
  <si>
    <t xml:space="preserve">C45132</t>
  </si>
  <si>
    <t xml:space="preserve">C45132 — on a phone it is a full-screen surface with a Cancel action</t>
  </si>
  <si>
    <t xml:space="preserve">C45133</t>
  </si>
  <si>
    <t xml:space="preserve">C45133 — the scope chips appear only once something is typed</t>
  </si>
  <si>
    <t xml:space="preserve">C146224 — Assets: the row shows the whole matched value, not just what was typed</t>
  </si>
  <si>
    <t xml:space="preserve">C146233 — Parts: the row shows the whole matched value, not just what was typed</t>
  </si>
  <si>
    <t xml:space="preserve">C146245 — Vendors: the row shows the whole matched value, not just what was typed</t>
  </si>
  <si>
    <t xml:space="preserve">C146257 — Part sales: the row shows the whole matched value, not just what was typed</t>
  </si>
  <si>
    <t xml:space="preserve">C146266 — Purchase orders: the row shows the whole matched value, not just what was typed</t>
  </si>
  <si>
    <t xml:space="preserve">C146277 — Vendor invoices: the row shows the whole matched value, not just what was typed</t>
  </si>
  <si>
    <t xml:space="preserve">C146225 — Assets: a long value is not cut off through the part that matched</t>
  </si>
  <si>
    <t xml:space="preserve">C146234 — Parts: a long value is not cut off through the part that matched</t>
  </si>
  <si>
    <t xml:space="preserve">C146246 — Vendors: a long value is not cut off through the part that matched</t>
  </si>
  <si>
    <t xml:space="preserve">C146258 — Part sales: a long value is not cut off through the part that matched</t>
  </si>
  <si>
    <t xml:space="preserve">C146267 — Purchase orders: a long value is not cut off through the part that matched</t>
  </si>
  <si>
    <t xml:space="preserve">C146278 — Vendor invoices: a long value is not cut off through the part that matched</t>
  </si>
  <si>
    <t xml:space="preserve">C146268 — Purchase orders: the highlight marks the match inside the text, not instead of it</t>
  </si>
  <si>
    <t xml:space="preserve">C146279 — Vendor invoices: the highlight marks the match inside the text, not instead of it</t>
  </si>
  <si>
    <t xml:space="preserve">C146229 — Assets: a match on VIN or serial number shows the full value on the row</t>
  </si>
  <si>
    <t xml:space="preserve">C44862</t>
  </si>
  <si>
    <t xml:space="preserve">C44862 — reopening the panel restores the last query, tab and results</t>
  </si>
  <si>
    <t xml:space="preserve">C44833</t>
  </si>
  <si>
    <t xml:space="preserve">C44833 — a Asset row shows a year and a make or model</t>
  </si>
  <si>
    <t xml:space="preserve">C44834</t>
  </si>
  <si>
    <t xml:space="preserve">C44834 — a Part row shows a stock quantity and a part number or description</t>
  </si>
  <si>
    <t xml:space="preserve">C44835</t>
  </si>
  <si>
    <t xml:space="preserve">C44835 — a Vendor row shows the vendor name</t>
  </si>
  <si>
    <t xml:space="preserve">C44836</t>
  </si>
  <si>
    <t xml:space="preserve">C44836 — a Part sale row shows a P-number</t>
  </si>
  <si>
    <t xml:space="preserve">C44845</t>
  </si>
  <si>
    <t xml:space="preserve">C44845 — a telephone number matches on its digits, ignoring how it is punctuated</t>
  </si>
  <si>
    <t xml:space="preserve">C44842</t>
  </si>
  <si>
    <t xml:space="preserve">C44842 — a phonetically similar name still finds the record</t>
  </si>
  <si>
    <t xml:space="preserve">C96844</t>
  </si>
  <si>
    <t xml:space="preserve">C96844 — a near spelling of a customer contact name is shown and marked as close</t>
  </si>
  <si>
    <t xml:space="preserve">C96845</t>
  </si>
  <si>
    <t xml:space="preserve">C96845 — a near spelling of a vendor contact name is shown and marked as close</t>
  </si>
  <si>
    <t xml:space="preserve">C55728</t>
  </si>
  <si>
    <t xml:space="preserve">C55728 — sound-alike matching applies to names, not to part numbers</t>
  </si>
  <si>
    <t xml:space="preserve">C44877</t>
  </si>
  <si>
    <t xml:space="preserve">C44877 — holding Parts access, parts results are shown</t>
  </si>
  <si>
    <t xml:space="preserve">C55702</t>
  </si>
  <si>
    <t xml:space="preserve">C55702 — holding Work orders access, work orders results are shown</t>
  </si>
  <si>
    <t xml:space="preserve">C55703</t>
  </si>
  <si>
    <t xml:space="preserve">C55703 — holding Customers access, customers results are shown</t>
  </si>
  <si>
    <t xml:space="preserve">C55704 — holding Part sales access, part sales results are shown</t>
  </si>
  <si>
    <t xml:space="preserve">C55705</t>
  </si>
  <si>
    <t xml:space="preserve">C55705 — holding Purchase orders access, purchase orders results are shown</t>
  </si>
  <si>
    <t xml:space="preserve">C44836b — a completed part sale row carries its total price</t>
  </si>
  <si>
    <t xml:space="preserve">C55706</t>
  </si>
  <si>
    <t xml:space="preserve">C55706 — holding See Financial Data, prices are shown on the rows</t>
  </si>
  <si>
    <t xml:space="preserve">C44863</t>
  </si>
  <si>
    <t xml:space="preserve">C44863 — the persisted query can be cleared with the clear button</t>
  </si>
  <si>
    <t xml:space="preserve">C146227 — Assets: two records sharing what was typed can be told apart</t>
  </si>
  <si>
    <t xml:space="preserve">C146236 — Parts: two records sharing what was typed can be told apart</t>
  </si>
  <si>
    <t xml:space="preserve">C146248 — Vendors: two records sharing what was typed can be told apart</t>
  </si>
  <si>
    <t xml:space="preserve">C146260 — Part sales: two records sharing what was typed can be told apart</t>
  </si>
  <si>
    <t xml:space="preserve">C146269 — Purchase orders: two records sharing what was typed can be told apart</t>
  </si>
  <si>
    <t xml:space="preserve">C146280 — Vendor invoices: two records sharing what was typed can be told apart</t>
  </si>
  <si>
    <t xml:space="preserve">C146237 — Parts: two rows with the same first line differ somewhere you can see</t>
  </si>
  <si>
    <t xml:space="preserve">C146231 — the Assets row shows a year and a make or model</t>
  </si>
  <si>
    <t xml:space="preserve">C146243 — the Parts row shows a stock state and a number or name</t>
  </si>
  <si>
    <t xml:space="preserve">C146255 — the Vendors row shows the vendor name</t>
  </si>
  <si>
    <t xml:space="preserve">C146283 — the Vendor invoices row shows a number and the vendor</t>
  </si>
  <si>
    <t xml:space="preserve">C44876</t>
  </si>
  <si>
    <t xml:space="preserve">C44876 — when the search cannot run, the panel says so and offers a retry</t>
  </si>
  <si>
    <t xml:space="preserve">C45158</t>
  </si>
  <si>
    <t xml:space="preserve">C45158 — global search is available without any toggle being switched on</t>
  </si>
  <si>
    <t xml:space="preserve">C44897</t>
  </si>
  <si>
    <t xml:space="preserve">C44897 — the old search path is gone, with no flag left behind</t>
  </si>
  <si>
    <t xml:space="preserve">C44829</t>
  </si>
  <si>
    <t xml:space="preserve">C44829 — the results count is announced when it changes</t>
  </si>
  <si>
    <t xml:space="preserve">C44816</t>
  </si>
  <si>
    <t xml:space="preserve">C44816 — the Work orders tab shows only work orders</t>
  </si>
  <si>
    <t xml:space="preserve">C45130</t>
  </si>
  <si>
    <t xml:space="preserve">C45130 — the Purchase orders tab shows only purchase orders</t>
  </si>
  <si>
    <t xml:space="preserve">C44843</t>
  </si>
  <si>
    <t xml:space="preserve">C44843 — poNumber matches with or without its punctuation</t>
  </si>
  <si>
    <t xml:space="preserve">C53579</t>
  </si>
  <si>
    <t xml:space="preserve">C53579 — poNumber matches with or without its punctuation</t>
  </si>
  <si>
    <t xml:space="preserve">C55672</t>
  </si>
  <si>
    <t xml:space="preserve">C55672 — partSaleNo matches with or without its punctuation</t>
  </si>
  <si>
    <t xml:space="preserve">C55714</t>
  </si>
  <si>
    <t xml:space="preserve">C55714 — invoiceNo matches with or without its punctuation</t>
  </si>
  <si>
    <t xml:space="preserve">C44831</t>
  </si>
  <si>
    <t xml:space="preserve">C44831 — a work order row carries its number, customer and a status badge</t>
  </si>
  <si>
    <t xml:space="preserve">C44832</t>
  </si>
  <si>
    <t xml:space="preserve">C44832 — a customer row carries its name, an address line and an open-count chip</t>
  </si>
  <si>
    <t xml:space="preserve">C146275 — a purchase order row carries everything the requirement names</t>
  </si>
  <si>
    <t xml:space="preserve">C44855</t>
  </si>
  <si>
    <t xml:space="preserve">C44855 — the first-time state shows one helper line and nothing else</t>
  </si>
  <si>
    <t xml:space="preserve">C44856</t>
  </si>
  <si>
    <t xml:space="preserve">C44856 — neither the first-time nor the no-results state offers quick-create</t>
  </si>
  <si>
    <t xml:space="preserve">C44817</t>
  </si>
  <si>
    <t xml:space="preserve">C44817 — the Customers tab shows only customers, with its own count</t>
  </si>
  <si>
    <t xml:space="preserve">C44818</t>
  </si>
  <si>
    <t xml:space="preserve">C44818 — the Assets tab shows only assets, with its own count</t>
  </si>
  <si>
    <t xml:space="preserve">C44819</t>
  </si>
  <si>
    <t xml:space="preserve">C44819 — the Parts tab shows only parts, with its own count</t>
  </si>
  <si>
    <t xml:space="preserve">C44820</t>
  </si>
  <si>
    <t xml:space="preserve">C44820 — the Vendors tab shows only vendors, with its own count</t>
  </si>
  <si>
    <t xml:space="preserve">C44821</t>
  </si>
  <si>
    <t xml:space="preserve">C44821 — the Part sales tab shows only part sales, with its own count</t>
  </si>
  <si>
    <t xml:space="preserve">C45131</t>
  </si>
  <si>
    <t xml:space="preserve">C45131 — the Vendor invoices tab shows only vendor invoices, with its own count</t>
  </si>
  <si>
    <t xml:space="preserve">C44815</t>
  </si>
  <si>
    <t xml:space="preserve">C44815 — the All tab shows every kind together</t>
  </si>
  <si>
    <t xml:space="preserve">C44822</t>
  </si>
  <si>
    <t xml:space="preserve">C44822 — selecting a scope tab shows that kind only, and its count</t>
  </si>
  <si>
    <t xml:space="preserve">C44823</t>
  </si>
  <si>
    <t xml:space="preserve">C44823 — each group heading carries its total match count</t>
  </si>
  <si>
    <t xml:space="preserve">C44824</t>
  </si>
  <si>
    <t xml:space="preserve">C44824 — a group shows at most five results in the All view</t>
  </si>
  <si>
    <t xml:space="preserve">C44825</t>
  </si>
  <si>
    <t xml:space="preserve">C44825 — a group with more than five matches offers Show all</t>
  </si>
  <si>
    <t xml:space="preserve">C44826</t>
  </si>
  <si>
    <t xml:space="preserve">C44826 — Show all switches the panel to that kind's tab</t>
  </si>
  <si>
    <t xml:space="preserve">C45129</t>
  </si>
  <si>
    <t xml:space="preserve">C45129 — there is no Contacts tab or group</t>
  </si>
  <si>
    <t xml:space="preserve">C44895</t>
  </si>
  <si>
    <t xml:space="preserve">C44895 — there is no Contacts tab or group</t>
  </si>
  <si>
    <t xml:space="preserve">C44810</t>
  </si>
  <si>
    <t xml:space="preserve">C44810 — Enter opens the highlighted result in the same tab</t>
  </si>
  <si>
    <t xml:space="preserve">C44811</t>
  </si>
  <si>
    <t xml:space="preserve">C44811 — Ctrl+Enter opens the highlighted result in a new browser tab</t>
  </si>
  <si>
    <t xml:space="preserve">Failures not described by any ticket. NOT yet checked against the requirement as it reads today, and nothing has been raised.</t>
  </si>
  <si>
    <t xml:space="preserve">Failures showing a behaviour a filed ticket already describes. The ticket and its live status are on each row. Nothing new to raise.</t>
  </si>
  <si>
    <t xml:space="preserve">Failures caused by the test itself, not the product. Each test has been fixed; the last two columns show it re-run on the same build.</t>
  </si>
  <si>
    <t xml:space="preserve">Tests written to reproduce a fault already recorded in a ticket. They failed in exactly the known way — that is the expected result.</t>
  </si>
  <si>
    <t xml:space="preserve">Tests written to reproduce a known fault, where the fault did NOT happen this time. Worth confirming by hand: it may have been fixed.</t>
  </si>
  <si>
    <t xml:space="preserve">Tests that did not judge the product because something they need was missing. Each says what. These are not passes and not failures.</t>
  </si>
  <si>
    <t xml:space="preserve">Tests that passed.</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</si>
</sst>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u val="single"/>
      <sz val="10"/>
      <color rgb="FF0563C1"/>
      <name val="Arial"/>
      <family val="0"/>
      <charset val="1"/>
    </font>
    <font>
      <b val="true"/>
      <sz val="11"/>
      <color rgb="FFFFFFFF"/>
      <name val="Arial"/>
      <family val="0"/>
      <charset val="1"/>
    </font>
    <font>
      <i val="true"/>
      <sz val="1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CE4D6"/>
        <bgColor rgb="FFFFF2CC"/>
      </patternFill>
    </fill>
    <fill>
      <patternFill patternType="solid">
        <fgColor rgb="FFFFF2CC"/>
        <bgColor rgb="FFFCE4D6"/>
      </patternFill>
    </fill>
    <fill>
      <patternFill patternType="solid">
        <fgColor rgb="FFE4DFEC"/>
        <bgColor rgb="FFD9D9D9"/>
      </patternFill>
    </fill>
    <fill>
      <patternFill patternType="solid">
        <fgColor rgb="FFDDEBF7"/>
        <bgColor rgb="FFEDEDED"/>
      </patternFill>
    </fill>
    <fill>
      <patternFill patternType="solid">
        <fgColor rgb="FFEDEDED"/>
        <bgColor rgb="FFE2EFDA"/>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808080"/>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hopview.testrail.io/index.php?/runs/view/415"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shopview.testrail.io/index.php?/cases/view/146216"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33"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35"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27"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28"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45137"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44828"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05"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atlassian.net/browse/SV-10634" TargetMode="External"/><Relationship Id="rId18" Type="http://schemas.openxmlformats.org/officeDocument/2006/relationships/hyperlink" Target="https://shopview.testrail.io/index.php?/cases/view/146206" TargetMode="External"/><Relationship Id="rId19" Type="http://schemas.openxmlformats.org/officeDocument/2006/relationships/hyperlink" Target="https://shopview.testrail.io/index.php?/runs/view/415" TargetMode="External"/><Relationship Id="rId20" Type="http://schemas.openxmlformats.org/officeDocument/2006/relationships/hyperlink" Target="https://shopview.atlassian.net/browse/SV-10634" TargetMode="External"/><Relationship Id="rId21" Type="http://schemas.openxmlformats.org/officeDocument/2006/relationships/hyperlink" Target="https://shopview.testrail.io/index.php?/cases/view/146238"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atlassian.net/browse/SV-10634" TargetMode="External"/><Relationship Id="rId24" Type="http://schemas.openxmlformats.org/officeDocument/2006/relationships/hyperlink" Target="https://shopview.testrail.io/index.php?/cases/view/146242" TargetMode="External"/><Relationship Id="rId25" Type="http://schemas.openxmlformats.org/officeDocument/2006/relationships/hyperlink" Target="https://shopview.testrail.io/index.php?/runs/view/415" TargetMode="External"/><Relationship Id="rId26" Type="http://schemas.openxmlformats.org/officeDocument/2006/relationships/hyperlink" Target="https://shopview.atlassian.net/browse/SV-10634" TargetMode="External"/><Relationship Id="rId27" Type="http://schemas.openxmlformats.org/officeDocument/2006/relationships/hyperlink" Target="https://shopview.testrail.io/index.php?/cases/view/146252"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atlassian.net/browse/SV-10634" TargetMode="External"/><Relationship Id="rId30" Type="http://schemas.openxmlformats.org/officeDocument/2006/relationships/hyperlink" Target="https://shopview.testrail.io/index.php?/cases/view/146271" TargetMode="External"/><Relationship Id="rId31" Type="http://schemas.openxmlformats.org/officeDocument/2006/relationships/hyperlink" Target="https://shopview.testrail.io/index.php?/runs/view/415" TargetMode="External"/><Relationship Id="rId32" Type="http://schemas.openxmlformats.org/officeDocument/2006/relationships/hyperlink" Target="https://shopview.atlassian.net/browse/SV-10634" TargetMode="External"/><Relationship Id="rId33" Type="http://schemas.openxmlformats.org/officeDocument/2006/relationships/hyperlink" Target="https://shopview.testrail.io/index.php?/cases/view/146272" TargetMode="External"/><Relationship Id="rId34" Type="http://schemas.openxmlformats.org/officeDocument/2006/relationships/hyperlink" Target="https://shopview.testrail.io/index.php?/runs/view/415" TargetMode="External"/><Relationship Id="rId35" Type="http://schemas.openxmlformats.org/officeDocument/2006/relationships/hyperlink" Target="https://shopview.atlassian.net/browse/SV-10634" TargetMode="External"/><Relationship Id="rId36" Type="http://schemas.openxmlformats.org/officeDocument/2006/relationships/hyperlink" Target="https://shopview.testrail.io/index.php?/cases/view/146209" TargetMode="External"/><Relationship Id="rId37" Type="http://schemas.openxmlformats.org/officeDocument/2006/relationships/hyperlink" Target="https://shopview.testrail.io/index.php?/runs/view/415" TargetMode="External"/><Relationship Id="rId38" Type="http://schemas.openxmlformats.org/officeDocument/2006/relationships/hyperlink" Target="https://shopview.atlassian.net/browse/SV-10634" TargetMode="External"/><Relationship Id="rId39" Type="http://schemas.openxmlformats.org/officeDocument/2006/relationships/hyperlink" Target="https://shopview.testrail.io/index.php?/cases/view/146222" TargetMode="External"/><Relationship Id="rId40" Type="http://schemas.openxmlformats.org/officeDocument/2006/relationships/hyperlink" Target="https://shopview.testrail.io/index.php?/runs/view/415" TargetMode="External"/><Relationship Id="rId41" Type="http://schemas.openxmlformats.org/officeDocument/2006/relationships/hyperlink" Target="https://shopview.atlassian.net/browse/SV-10635" TargetMode="External"/><Relationship Id="rId42" Type="http://schemas.openxmlformats.org/officeDocument/2006/relationships/hyperlink" Target="https://shopview.testrail.io/index.php?/cases/view/146245" TargetMode="External"/><Relationship Id="rId43" Type="http://schemas.openxmlformats.org/officeDocument/2006/relationships/hyperlink" Target="https://shopview.testrail.io/index.php?/runs/view/415" TargetMode="External"/><Relationship Id="rId44" Type="http://schemas.openxmlformats.org/officeDocument/2006/relationships/hyperlink" Target="https://shopview.testrail.io/index.php?/cases/view/146266" TargetMode="External"/><Relationship Id="rId45" Type="http://schemas.openxmlformats.org/officeDocument/2006/relationships/hyperlink" Target="https://shopview.testrail.io/index.php?/runs/view/415" TargetMode="External"/><Relationship Id="rId46" Type="http://schemas.openxmlformats.org/officeDocument/2006/relationships/hyperlink" Target="https://shopview.testrail.io/index.php?/cases/view/146247" TargetMode="External"/><Relationship Id="rId47" Type="http://schemas.openxmlformats.org/officeDocument/2006/relationships/hyperlink" Target="https://shopview.testrail.io/index.php?/runs/view/415" TargetMode="External"/><Relationship Id="rId48" Type="http://schemas.openxmlformats.org/officeDocument/2006/relationships/hyperlink" Target="https://shopview.testrail.io/index.php?/cases/view/146268" TargetMode="External"/><Relationship Id="rId49" Type="http://schemas.openxmlformats.org/officeDocument/2006/relationships/hyperlink" Target="https://shopview.testrail.io/index.php?/runs/view/415" TargetMode="External"/><Relationship Id="rId50" Type="http://schemas.openxmlformats.org/officeDocument/2006/relationships/hyperlink" Target="https://shopview.testrail.io/index.php?/cases/view/146306" TargetMode="External"/><Relationship Id="rId51" Type="http://schemas.openxmlformats.org/officeDocument/2006/relationships/hyperlink" Target="https://shopview.testrail.io/index.php?/runs/view/415" TargetMode="External"/><Relationship Id="rId52" Type="http://schemas.openxmlformats.org/officeDocument/2006/relationships/hyperlink" Target="https://shopview.testrail.io/index.php?/cases/view/44809" TargetMode="External"/><Relationship Id="rId53" Type="http://schemas.openxmlformats.org/officeDocument/2006/relationships/hyperlink" Target="https://shopview.testrail.io/index.php?/runs/view/415" TargetMode="External"/><Relationship Id="rId54" Type="http://schemas.openxmlformats.org/officeDocument/2006/relationships/hyperlink" Target="https://shopview.testrail.io/index.php?/cases/view/45144" TargetMode="External"/><Relationship Id="rId55" Type="http://schemas.openxmlformats.org/officeDocument/2006/relationships/hyperlink" Target="https://shopview.testrail.io/index.php?/runs/view/415" TargetMode="External"/><Relationship Id="rId56" Type="http://schemas.openxmlformats.org/officeDocument/2006/relationships/hyperlink" Target="https://shopview.testrail.io/index.php?/cases/view/45146" TargetMode="External"/><Relationship Id="rId57" Type="http://schemas.openxmlformats.org/officeDocument/2006/relationships/hyperlink" Target="https://shopview.testrail.io/index.php?/runs/view/415" TargetMode="External"/><Relationship Id="rId58" Type="http://schemas.openxmlformats.org/officeDocument/2006/relationships/hyperlink" Target="https://shopview.testrail.io/index.php?/cases/view/45147" TargetMode="External"/><Relationship Id="rId59" Type="http://schemas.openxmlformats.org/officeDocument/2006/relationships/hyperlink" Target="https://shopview.testrail.io/index.php?/runs/view/415" TargetMode="External"/><Relationship Id="rId60" Type="http://schemas.openxmlformats.org/officeDocument/2006/relationships/hyperlink" Target="https://shopview.testrail.io/index.php?/cases/view/45143" TargetMode="External"/><Relationship Id="rId61" Type="http://schemas.openxmlformats.org/officeDocument/2006/relationships/hyperlink" Target="https://shopview.testrail.io/index.php?/runs/view/415" TargetMode="External"/><Relationship Id="rId62" Type="http://schemas.openxmlformats.org/officeDocument/2006/relationships/hyperlink" Target="https://shopview.testrail.io/index.php?/cases/view/45151" TargetMode="External"/><Relationship Id="rId63" Type="http://schemas.openxmlformats.org/officeDocument/2006/relationships/hyperlink" Target="https://shopview.testrail.io/index.php?/runs/view/415" TargetMode="External"/><Relationship Id="rId64" Type="http://schemas.openxmlformats.org/officeDocument/2006/relationships/hyperlink" Target="https://shopview.testrail.io/index.php?/cases/view/55716" TargetMode="External"/><Relationship Id="rId65" Type="http://schemas.openxmlformats.org/officeDocument/2006/relationships/hyperlink" Target="https://shopview.testrail.io/index.php?/runs/view/415" TargetMode="External"/><Relationship Id="rId66" Type="http://schemas.openxmlformats.org/officeDocument/2006/relationships/hyperlink" Target="https://shopview.atlassian.net/browse/SV-10340" TargetMode="External"/><Relationship Id="rId67" Type="http://schemas.openxmlformats.org/officeDocument/2006/relationships/hyperlink" Target="https://shopview.testrail.io/index.php?/cases/view/55724"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55723" TargetMode="External"/><Relationship Id="rId70" Type="http://schemas.openxmlformats.org/officeDocument/2006/relationships/hyperlink" Target="https://shopview.testrail.io/index.php?/runs/view/415" TargetMode="External"/><Relationship Id="rId71" Type="http://schemas.openxmlformats.org/officeDocument/2006/relationships/hyperlink" Target="https://shopview.testrail.io/index.php?/cases/view/45139" TargetMode="External"/><Relationship Id="rId72" Type="http://schemas.openxmlformats.org/officeDocument/2006/relationships/hyperlink" Target="https://shopview.testrail.io/index.php?/runs/view/415" TargetMode="External"/><Relationship Id="rId73" Type="http://schemas.openxmlformats.org/officeDocument/2006/relationships/hyperlink" Target="https://shopview.testrail.io/index.php?/cases/view/53586" TargetMode="External"/><Relationship Id="rId74" Type="http://schemas.openxmlformats.org/officeDocument/2006/relationships/hyperlink" Target="https://shopview.testrail.io/index.php?/runs/view/415" TargetMode="External"/><Relationship Id="rId75" Type="http://schemas.openxmlformats.org/officeDocument/2006/relationships/hyperlink" Target="https://shopview.testrail.io/index.php?/cases/view/53587" TargetMode="External"/><Relationship Id="rId76" Type="http://schemas.openxmlformats.org/officeDocument/2006/relationships/hyperlink" Target="https://shopview.testrail.io/index.php?/runs/view/415" TargetMode="External"/><Relationship Id="rId77" Type="http://schemas.openxmlformats.org/officeDocument/2006/relationships/hyperlink" Target="https://shopview.testrail.io/index.php?/cases/view/55712" TargetMode="External"/><Relationship Id="rId78" Type="http://schemas.openxmlformats.org/officeDocument/2006/relationships/hyperlink" Target="https://shopview.testrail.io/index.php?/runs/view/415" TargetMode="External"/><Relationship Id="rId79" Type="http://schemas.openxmlformats.org/officeDocument/2006/relationships/hyperlink" Target="https://shopview.testrail.io/index.php?/cases/view/146202" TargetMode="External"/><Relationship Id="rId80" Type="http://schemas.openxmlformats.org/officeDocument/2006/relationships/hyperlink" Target="https://shopview.testrail.io/index.php?/runs/view/415" TargetMode="External"/><Relationship Id="rId81" Type="http://schemas.openxmlformats.org/officeDocument/2006/relationships/hyperlink" Target="https://shopview.testrail.io/index.php?/cases/view/146214" TargetMode="External"/><Relationship Id="rId82" Type="http://schemas.openxmlformats.org/officeDocument/2006/relationships/hyperlink" Target="https://shopview.testrail.io/index.php?/runs/view/415" TargetMode="External"/><Relationship Id="rId83" Type="http://schemas.openxmlformats.org/officeDocument/2006/relationships/hyperlink" Target="https://shopview.testrail.io/index.php?/cases/view/146215" TargetMode="External"/><Relationship Id="rId84" Type="http://schemas.openxmlformats.org/officeDocument/2006/relationships/hyperlink" Target="https://shopview.testrail.io/index.php?/runs/view/415" TargetMode="External"/><Relationship Id="rId85" Type="http://schemas.openxmlformats.org/officeDocument/2006/relationships/hyperlink" Target="https://shopview.testrail.io/index.php?/cases/view/146217" TargetMode="External"/><Relationship Id="rId86" Type="http://schemas.openxmlformats.org/officeDocument/2006/relationships/hyperlink" Target="https://shopview.testrail.io/index.php?/runs/view/415" TargetMode="External"/><Relationship Id="rId87" Type="http://schemas.openxmlformats.org/officeDocument/2006/relationships/hyperlink" Target="https://shopview.testrail.io/index.php?/cases/view/146218" TargetMode="External"/><Relationship Id="rId88" Type="http://schemas.openxmlformats.org/officeDocument/2006/relationships/hyperlink" Target="https://shopview.testrail.io/index.php?/runs/view/415" TargetMode="External"/><Relationship Id="rId89" Type="http://schemas.openxmlformats.org/officeDocument/2006/relationships/hyperlink" Target="https://shopview.testrail.io/index.php?/cases/view/146229" TargetMode="External"/><Relationship Id="rId90" Type="http://schemas.openxmlformats.org/officeDocument/2006/relationships/hyperlink" Target="https://shopview.testrail.io/index.php?/runs/view/415" TargetMode="External"/><Relationship Id="rId91" Type="http://schemas.openxmlformats.org/officeDocument/2006/relationships/hyperlink" Target="https://shopview.testrail.io/index.php?/cases/view/146230" TargetMode="External"/><Relationship Id="rId92" Type="http://schemas.openxmlformats.org/officeDocument/2006/relationships/hyperlink" Target="https://shopview.testrail.io/index.php?/runs/view/415" TargetMode="External"/><Relationship Id="rId93" Type="http://schemas.openxmlformats.org/officeDocument/2006/relationships/hyperlink" Target="https://shopview.testrail.io/index.php?/cases/view/146239" TargetMode="External"/><Relationship Id="rId94" Type="http://schemas.openxmlformats.org/officeDocument/2006/relationships/hyperlink" Target="https://shopview.testrail.io/index.php?/runs/view/415" TargetMode="External"/><Relationship Id="rId95" Type="http://schemas.openxmlformats.org/officeDocument/2006/relationships/hyperlink" Target="https://shopview.testrail.io/index.php?/cases/view/146240" TargetMode="External"/><Relationship Id="rId96" Type="http://schemas.openxmlformats.org/officeDocument/2006/relationships/hyperlink" Target="https://shopview.testrail.io/index.php?/runs/view/415" TargetMode="External"/><Relationship Id="rId97" Type="http://schemas.openxmlformats.org/officeDocument/2006/relationships/hyperlink" Target="https://shopview.testrail.io/index.php?/cases/view/146251" TargetMode="External"/><Relationship Id="rId98" Type="http://schemas.openxmlformats.org/officeDocument/2006/relationships/hyperlink" Target="https://shopview.testrail.io/index.php?/runs/view/415" TargetMode="External"/><Relationship Id="rId99" Type="http://schemas.openxmlformats.org/officeDocument/2006/relationships/hyperlink" Target="https://shopview.testrail.io/index.php?/cases/view/146262" TargetMode="External"/><Relationship Id="rId100" Type="http://schemas.openxmlformats.org/officeDocument/2006/relationships/hyperlink" Target="https://shopview.testrail.io/index.php?/runs/view/415" TargetMode="External"/><Relationship Id="rId101" Type="http://schemas.openxmlformats.org/officeDocument/2006/relationships/hyperlink" Target="https://shopview.testrail.io/index.php?/cases/view/146263" TargetMode="External"/><Relationship Id="rId102" Type="http://schemas.openxmlformats.org/officeDocument/2006/relationships/hyperlink" Target="https://shopview.testrail.io/index.php?/runs/view/415" TargetMode="External"/><Relationship Id="rId103" Type="http://schemas.openxmlformats.org/officeDocument/2006/relationships/hyperlink" Target="https://shopview.testrail.io/index.php?/cases/view/146273" TargetMode="External"/><Relationship Id="rId104" Type="http://schemas.openxmlformats.org/officeDocument/2006/relationships/hyperlink" Target="https://shopview.testrail.io/index.php?/runs/view/415" TargetMode="External"/><Relationship Id="rId105" Type="http://schemas.openxmlformats.org/officeDocument/2006/relationships/hyperlink" Target="https://shopview.testrail.io/index.php?/cases/view/146274" TargetMode="External"/><Relationship Id="rId106" Type="http://schemas.openxmlformats.org/officeDocument/2006/relationships/hyperlink" Target="https://shopview.testrail.io/index.php?/runs/view/415" TargetMode="External"/><Relationship Id="rId107" Type="http://schemas.openxmlformats.org/officeDocument/2006/relationships/hyperlink" Target="https://shopview.testrail.io/index.php?/cases/view/146282" TargetMode="External"/><Relationship Id="rId108" Type="http://schemas.openxmlformats.org/officeDocument/2006/relationships/hyperlink" Target="https://shopview.testrail.io/index.php?/runs/view/415" TargetMode="External"/><Relationship Id="rId109" Type="http://schemas.openxmlformats.org/officeDocument/2006/relationships/hyperlink" Target="https://shopview.testrail.io/index.php?/cases/view/53476" TargetMode="External"/><Relationship Id="rId110" Type="http://schemas.openxmlformats.org/officeDocument/2006/relationships/hyperlink" Target="https://shopview.testrail.io/index.php?/runs/view/415" TargetMode="External"/><Relationship Id="rId111" Type="http://schemas.openxmlformats.org/officeDocument/2006/relationships/hyperlink" Target="https://shopview.atlassian.net/browse/SV-10320" TargetMode="External"/><Relationship Id="rId112" Type="http://schemas.openxmlformats.org/officeDocument/2006/relationships/hyperlink" Target="https://shopview.testrail.io/index.php?/cases/view/55716" TargetMode="External"/><Relationship Id="rId113" Type="http://schemas.openxmlformats.org/officeDocument/2006/relationships/hyperlink" Target="https://shopview.testrail.io/index.php?/runs/view/415" TargetMode="External"/><Relationship Id="rId114" Type="http://schemas.openxmlformats.org/officeDocument/2006/relationships/hyperlink" Target="https://shopview.atlassian.net/browse/SV-10340" TargetMode="External"/><Relationship Id="rId115" Type="http://schemas.openxmlformats.org/officeDocument/2006/relationships/hyperlink" Target="https://shopview.testrail.io/index.php?/cases/view/53601" TargetMode="External"/><Relationship Id="rId116" Type="http://schemas.openxmlformats.org/officeDocument/2006/relationships/hyperlink" Target="https://shopview.testrail.io/index.php?/runs/view/415" TargetMode="External"/><Relationship Id="rId117" Type="http://schemas.openxmlformats.org/officeDocument/2006/relationships/hyperlink" Target="https://shopview.atlassian.net/browse/SV-10001" TargetMode="External"/><Relationship Id="rId118" Type="http://schemas.openxmlformats.org/officeDocument/2006/relationships/hyperlink" Target="https://shopview.testrail.io/index.php?/cases/view/53605" TargetMode="External"/><Relationship Id="rId119" Type="http://schemas.openxmlformats.org/officeDocument/2006/relationships/hyperlink" Target="https://shopview.testrail.io/index.php?/runs/view/415" TargetMode="External"/><Relationship Id="rId120" Type="http://schemas.openxmlformats.org/officeDocument/2006/relationships/hyperlink" Target="https://shopview.atlassian.net/browse/SV-10055" TargetMode="External"/><Relationship Id="rId121" Type="http://schemas.openxmlformats.org/officeDocument/2006/relationships/hyperlink" Target="https://shopview.testrail.io/index.php?/cases/view/55660" TargetMode="External"/><Relationship Id="rId122" Type="http://schemas.openxmlformats.org/officeDocument/2006/relationships/hyperlink" Target="https://shopview.testrail.io/index.php?/runs/view/415" TargetMode="External"/><Relationship Id="rId123" Type="http://schemas.openxmlformats.org/officeDocument/2006/relationships/hyperlink" Target="https://shopview.atlassian.net/browse/SV-10060" TargetMode="External"/><Relationship Id="rId124" Type="http://schemas.openxmlformats.org/officeDocument/2006/relationships/hyperlink" Target="https://shopview.testrail.io/index.php?/cases/view/55685" TargetMode="External"/><Relationship Id="rId125" Type="http://schemas.openxmlformats.org/officeDocument/2006/relationships/hyperlink" Target="https://shopview.testrail.io/index.php?/runs/view/415" TargetMode="External"/><Relationship Id="rId126" Type="http://schemas.openxmlformats.org/officeDocument/2006/relationships/hyperlink" Target="https://shopview.atlassian.net/browse/SV-10025" TargetMode="External"/><Relationship Id="rId127" Type="http://schemas.openxmlformats.org/officeDocument/2006/relationships/hyperlink" Target="https://shopview.testrail.io/index.php?/cases/view/146286" TargetMode="External"/><Relationship Id="rId128" Type="http://schemas.openxmlformats.org/officeDocument/2006/relationships/hyperlink" Target="https://shopview.testrail.io/index.php?/runs/view/415" TargetMode="External"/><Relationship Id="rId129" Type="http://schemas.openxmlformats.org/officeDocument/2006/relationships/hyperlink" Target="https://shopview.atlassian.net/browse/SV-10320" TargetMode="External"/><Relationship Id="rId130" Type="http://schemas.openxmlformats.org/officeDocument/2006/relationships/hyperlink" Target="https://shopview.testrail.io/index.php?/cases/view/146208" TargetMode="External"/><Relationship Id="rId131" Type="http://schemas.openxmlformats.org/officeDocument/2006/relationships/hyperlink" Target="https://shopview.testrail.io/index.php?/runs/view/415" TargetMode="External"/><Relationship Id="rId132" Type="http://schemas.openxmlformats.org/officeDocument/2006/relationships/hyperlink" Target="https://shopview.testrail.io/index.php?/cases/view/146223" TargetMode="External"/><Relationship Id="rId133" Type="http://schemas.openxmlformats.org/officeDocument/2006/relationships/hyperlink" Target="https://shopview.testrail.io/index.php?/runs/view/415" TargetMode="External"/><Relationship Id="rId134" Type="http://schemas.openxmlformats.org/officeDocument/2006/relationships/hyperlink" Target="https://shopview.testrail.io/index.php?/cases/view/146232" TargetMode="External"/><Relationship Id="rId135" Type="http://schemas.openxmlformats.org/officeDocument/2006/relationships/hyperlink" Target="https://shopview.testrail.io/index.php?/runs/view/415" TargetMode="External"/><Relationship Id="rId136" Type="http://schemas.openxmlformats.org/officeDocument/2006/relationships/hyperlink" Target="https://shopview.testrail.io/index.php?/cases/view/146244" TargetMode="External"/><Relationship Id="rId137" Type="http://schemas.openxmlformats.org/officeDocument/2006/relationships/hyperlink" Target="https://shopview.testrail.io/index.php?/runs/view/415" TargetMode="External"/><Relationship Id="rId138" Type="http://schemas.openxmlformats.org/officeDocument/2006/relationships/hyperlink" Target="https://shopview.testrail.io/index.php?/cases/view/146256" TargetMode="External"/><Relationship Id="rId139" Type="http://schemas.openxmlformats.org/officeDocument/2006/relationships/hyperlink" Target="https://shopview.testrail.io/index.php?/runs/view/415" TargetMode="External"/><Relationship Id="rId140" Type="http://schemas.openxmlformats.org/officeDocument/2006/relationships/hyperlink" Target="https://shopview.testrail.io/index.php?/cases/view/146265" TargetMode="External"/><Relationship Id="rId141" Type="http://schemas.openxmlformats.org/officeDocument/2006/relationships/hyperlink" Target="https://shopview.testrail.io/index.php?/runs/view/415" TargetMode="External"/><Relationship Id="rId142" Type="http://schemas.openxmlformats.org/officeDocument/2006/relationships/hyperlink" Target="https://shopview.testrail.io/index.php?/cases/view/146276" TargetMode="External"/><Relationship Id="rId143" Type="http://schemas.openxmlformats.org/officeDocument/2006/relationships/hyperlink" Target="https://shopview.testrail.io/index.php?/runs/view/415" TargetMode="External"/><Relationship Id="rId144" Type="http://schemas.openxmlformats.org/officeDocument/2006/relationships/hyperlink" Target="https://shopview.testrail.io/index.php?/cases/view/146284" TargetMode="External"/><Relationship Id="rId145" Type="http://schemas.openxmlformats.org/officeDocument/2006/relationships/hyperlink" Target="https://shopview.testrail.io/index.php?/runs/view/415" TargetMode="External"/><Relationship Id="rId146" Type="http://schemas.openxmlformats.org/officeDocument/2006/relationships/hyperlink" Target="https://shopview.testrail.io/index.php?/cases/view/146291" TargetMode="External"/><Relationship Id="rId147" Type="http://schemas.openxmlformats.org/officeDocument/2006/relationships/hyperlink" Target="https://shopview.testrail.io/index.php?/runs/view/415" TargetMode="External"/><Relationship Id="rId148" Type="http://schemas.openxmlformats.org/officeDocument/2006/relationships/hyperlink" Target="https://shopview.testrail.io/index.php?/cases/view/45138" TargetMode="External"/><Relationship Id="rId149" Type="http://schemas.openxmlformats.org/officeDocument/2006/relationships/hyperlink" Target="https://shopview.testrail.io/index.php?/runs/view/415" TargetMode="External"/><Relationship Id="rId150" Type="http://schemas.openxmlformats.org/officeDocument/2006/relationships/hyperlink" Target="https://shopview.testrail.io/index.php?/cases/view/44839" TargetMode="External"/><Relationship Id="rId151" Type="http://schemas.openxmlformats.org/officeDocument/2006/relationships/hyperlink" Target="https://shopview.testrail.io/index.php?/runs/view/415" TargetMode="External"/><Relationship Id="rId152" Type="http://schemas.openxmlformats.org/officeDocument/2006/relationships/hyperlink" Target="https://shopview.testrail.io/index.php?/cases/view/44840" TargetMode="External"/><Relationship Id="rId153" Type="http://schemas.openxmlformats.org/officeDocument/2006/relationships/hyperlink" Target="https://shopview.testrail.io/index.php?/runs/view/415" TargetMode="External"/><Relationship Id="rId154" Type="http://schemas.openxmlformats.org/officeDocument/2006/relationships/hyperlink" Target="https://shopview.testrail.io/index.php?/cases/view/44841" TargetMode="External"/><Relationship Id="rId155" Type="http://schemas.openxmlformats.org/officeDocument/2006/relationships/hyperlink" Target="https://shopview.testrail.io/index.php?/runs/view/415" TargetMode="External"/><Relationship Id="rId156" Type="http://schemas.openxmlformats.org/officeDocument/2006/relationships/hyperlink" Target="https://shopview.testrail.io/index.php?/cases/view/55727" TargetMode="External"/><Relationship Id="rId157" Type="http://schemas.openxmlformats.org/officeDocument/2006/relationships/hyperlink" Target="https://shopview.testrail.io/index.php?/runs/view/415" TargetMode="External"/><Relationship Id="rId158" Type="http://schemas.openxmlformats.org/officeDocument/2006/relationships/hyperlink" Target="https://shopview.testrail.io/index.php?/cases/view/53585" TargetMode="External"/><Relationship Id="rId159" Type="http://schemas.openxmlformats.org/officeDocument/2006/relationships/hyperlink" Target="https://shopview.testrail.io/index.php?/runs/view/415" TargetMode="External"/><Relationship Id="rId160" Type="http://schemas.openxmlformats.org/officeDocument/2006/relationships/hyperlink" Target="https://shopview.testrail.io/index.php?/cases/view/53604" TargetMode="External"/><Relationship Id="rId161" Type="http://schemas.openxmlformats.org/officeDocument/2006/relationships/hyperlink" Target="https://shopview.testrail.io/index.php?/runs/view/415" TargetMode="External"/><Relationship Id="rId162" Type="http://schemas.openxmlformats.org/officeDocument/2006/relationships/hyperlink" Target="https://shopview.testrail.io/index.php?/cases/view/44837" TargetMode="External"/><Relationship Id="rId163" Type="http://schemas.openxmlformats.org/officeDocument/2006/relationships/hyperlink" Target="https://shopview.testrail.io/index.php?/runs/view/415" TargetMode="External"/><Relationship Id="rId164" Type="http://schemas.openxmlformats.org/officeDocument/2006/relationships/hyperlink" Target="https://shopview.testrail.io/index.php?/cases/view/146220" TargetMode="External"/><Relationship Id="rId165" Type="http://schemas.openxmlformats.org/officeDocument/2006/relationships/hyperlink" Target="https://shopview.testrail.io/index.php?/runs/view/415" TargetMode="External"/><Relationship Id="rId166" Type="http://schemas.openxmlformats.org/officeDocument/2006/relationships/hyperlink" Target="https://shopview.testrail.io/index.php?/cases/view/44848" TargetMode="External"/><Relationship Id="rId167" Type="http://schemas.openxmlformats.org/officeDocument/2006/relationships/hyperlink" Target="https://shopview.testrail.io/index.php?/runs/view/415" TargetMode="External"/><Relationship Id="rId168" Type="http://schemas.openxmlformats.org/officeDocument/2006/relationships/hyperlink" Target="https://shopview.testrail.io/index.php?/cases/view/53516" TargetMode="External"/><Relationship Id="rId169" Type="http://schemas.openxmlformats.org/officeDocument/2006/relationships/hyperlink" Target="https://shopview.testrail.io/index.php?/runs/view/415" TargetMode="External"/><Relationship Id="rId170" Type="http://schemas.openxmlformats.org/officeDocument/2006/relationships/hyperlink" Target="https://shopview.testrail.io/index.php?/cases/view/53583" TargetMode="External"/><Relationship Id="rId171" Type="http://schemas.openxmlformats.org/officeDocument/2006/relationships/hyperlink" Target="https://shopview.testrail.io/index.php?/runs/view/415" TargetMode="External"/><Relationship Id="rId172" Type="http://schemas.openxmlformats.org/officeDocument/2006/relationships/hyperlink" Target="https://shopview.testrail.io/index.php?/cases/view/53584" TargetMode="External"/><Relationship Id="rId173" Type="http://schemas.openxmlformats.org/officeDocument/2006/relationships/hyperlink" Target="https://shopview.testrail.io/index.php?/runs/view/415" TargetMode="External"/><Relationship Id="rId174" Type="http://schemas.openxmlformats.org/officeDocument/2006/relationships/hyperlink" Target="https://shopview.testrail.io/index.php?/cases/view/53602" TargetMode="External"/><Relationship Id="rId175" Type="http://schemas.openxmlformats.org/officeDocument/2006/relationships/hyperlink" Target="https://shopview.testrail.io/index.php?/runs/view/415" TargetMode="External"/><Relationship Id="rId176" Type="http://schemas.openxmlformats.org/officeDocument/2006/relationships/hyperlink" Target="https://shopview.testrail.io/index.php?/cases/view/53603" TargetMode="External"/><Relationship Id="rId177" Type="http://schemas.openxmlformats.org/officeDocument/2006/relationships/hyperlink" Target="https://shopview.testrail.io/index.php?/runs/view/415" TargetMode="External"/><Relationship Id="rId178" Type="http://schemas.openxmlformats.org/officeDocument/2006/relationships/hyperlink" Target="https://shopview.testrail.io/index.php?/cases/view/53606" TargetMode="External"/><Relationship Id="rId179" Type="http://schemas.openxmlformats.org/officeDocument/2006/relationships/hyperlink" Target="https://shopview.testrail.io/index.php?/runs/view/415" TargetMode="External"/><Relationship Id="rId180" Type="http://schemas.openxmlformats.org/officeDocument/2006/relationships/hyperlink" Target="https://shopview.testrail.io/index.php?/cases/view/55662" TargetMode="External"/><Relationship Id="rId181" Type="http://schemas.openxmlformats.org/officeDocument/2006/relationships/hyperlink" Target="https://shopview.testrail.io/index.php?/runs/view/415" TargetMode="External"/><Relationship Id="rId182" Type="http://schemas.openxmlformats.org/officeDocument/2006/relationships/hyperlink" Target="https://shopview.testrail.io/index.php?/cases/view/55664" TargetMode="External"/><Relationship Id="rId183" Type="http://schemas.openxmlformats.org/officeDocument/2006/relationships/hyperlink" Target="https://shopview.testrail.io/index.php?/runs/view/415" TargetMode="External"/><Relationship Id="rId184" Type="http://schemas.openxmlformats.org/officeDocument/2006/relationships/hyperlink" Target="https://shopview.testrail.io/index.php?/cases/view/55669" TargetMode="External"/><Relationship Id="rId185" Type="http://schemas.openxmlformats.org/officeDocument/2006/relationships/hyperlink" Target="https://shopview.testrail.io/index.php?/runs/view/415" TargetMode="External"/><Relationship Id="rId186" Type="http://schemas.openxmlformats.org/officeDocument/2006/relationships/hyperlink" Target="https://shopview.testrail.io/index.php?/cases/view/55670" TargetMode="External"/><Relationship Id="rId187" Type="http://schemas.openxmlformats.org/officeDocument/2006/relationships/hyperlink" Target="https://shopview.testrail.io/index.php?/runs/view/415" TargetMode="External"/><Relationship Id="rId188" Type="http://schemas.openxmlformats.org/officeDocument/2006/relationships/hyperlink" Target="https://shopview.testrail.io/index.php?/cases/view/44879" TargetMode="External"/><Relationship Id="rId189" Type="http://schemas.openxmlformats.org/officeDocument/2006/relationships/hyperlink" Target="https://shopview.testrail.io/index.php?/runs/view/415" TargetMode="External"/><Relationship Id="rId190" Type="http://schemas.openxmlformats.org/officeDocument/2006/relationships/hyperlink" Target="https://shopview.testrail.io/index.php?/cases/view/55732" TargetMode="External"/><Relationship Id="rId191" Type="http://schemas.openxmlformats.org/officeDocument/2006/relationships/hyperlink" Target="https://shopview.testrail.io/index.php?/runs/view/415" TargetMode="External"/><Relationship Id="rId192" Type="http://schemas.openxmlformats.org/officeDocument/2006/relationships/hyperlink" Target="https://shopview.testrail.io/index.php?/cases/view/55733" TargetMode="External"/><Relationship Id="rId193" Type="http://schemas.openxmlformats.org/officeDocument/2006/relationships/hyperlink" Target="https://shopview.testrail.io/index.php?/runs/view/415" TargetMode="External"/><Relationship Id="rId194" Type="http://schemas.openxmlformats.org/officeDocument/2006/relationships/hyperlink" Target="https://shopview.testrail.io/index.php?/cases/view/44882" TargetMode="External"/><Relationship Id="rId195" Type="http://schemas.openxmlformats.org/officeDocument/2006/relationships/hyperlink" Target="https://shopview.testrail.io/index.php?/runs/view/415" TargetMode="External"/><Relationship Id="rId196" Type="http://schemas.openxmlformats.org/officeDocument/2006/relationships/hyperlink" Target="https://shopview.testrail.io/index.php?/cases/view/55720" TargetMode="External"/><Relationship Id="rId197" Type="http://schemas.openxmlformats.org/officeDocument/2006/relationships/hyperlink" Target="https://shopview.testrail.io/index.php?/runs/view/415" TargetMode="External"/><Relationship Id="rId198" Type="http://schemas.openxmlformats.org/officeDocument/2006/relationships/hyperlink" Target="https://shopview.testrail.io/index.php?/cases/view/55737" TargetMode="External"/><Relationship Id="rId199" Type="http://schemas.openxmlformats.org/officeDocument/2006/relationships/hyperlink" Target="https://shopview.testrail.io/index.php?/runs/view/415" TargetMode="External"/><Relationship Id="rId200" Type="http://schemas.openxmlformats.org/officeDocument/2006/relationships/hyperlink" Target="https://shopview.testrail.io/index.php?/cases/view/55719" TargetMode="External"/><Relationship Id="rId201" Type="http://schemas.openxmlformats.org/officeDocument/2006/relationships/hyperlink" Target="https://shopview.testrail.io/index.php?/runs/view/415" TargetMode="External"/><Relationship Id="rId202" Type="http://schemas.openxmlformats.org/officeDocument/2006/relationships/hyperlink" Target="https://shopview.testrail.io/index.php?/cases/view/72120" TargetMode="External"/><Relationship Id="rId203" Type="http://schemas.openxmlformats.org/officeDocument/2006/relationships/hyperlink" Target="https://shopview.testrail.io/index.php?/runs/view/415" TargetMode="External"/><Relationship Id="rId204" Type="http://schemas.openxmlformats.org/officeDocument/2006/relationships/hyperlink" Target="https://shopview.testrail.io/index.php?/cases/view/72121" TargetMode="External"/><Relationship Id="rId205" Type="http://schemas.openxmlformats.org/officeDocument/2006/relationships/hyperlink" Target="https://shopview.testrail.io/index.php?/runs/view/415" TargetMode="External"/><Relationship Id="rId206" Type="http://schemas.openxmlformats.org/officeDocument/2006/relationships/hyperlink" Target="https://shopview.testrail.io/index.php?/cases/view/72122" TargetMode="External"/><Relationship Id="rId207" Type="http://schemas.openxmlformats.org/officeDocument/2006/relationships/hyperlink" Target="https://shopview.testrail.io/index.php?/runs/view/415" TargetMode="External"/><Relationship Id="rId208" Type="http://schemas.openxmlformats.org/officeDocument/2006/relationships/hyperlink" Target="https://shopview.testrail.io/index.php?/cases/view/55707" TargetMode="External"/><Relationship Id="rId209" Type="http://schemas.openxmlformats.org/officeDocument/2006/relationships/hyperlink" Target="https://shopview.testrail.io/index.php?/runs/view/415" TargetMode="External"/><Relationship Id="rId210" Type="http://schemas.openxmlformats.org/officeDocument/2006/relationships/hyperlink" Target="https://shopview.testrail.io/index.php?/cases/view/55724" TargetMode="External"/><Relationship Id="rId211" Type="http://schemas.openxmlformats.org/officeDocument/2006/relationships/hyperlink" Target="https://shopview.testrail.io/index.php?/runs/view/415" TargetMode="External"/><Relationship Id="rId212" Type="http://schemas.openxmlformats.org/officeDocument/2006/relationships/hyperlink" Target="https://shopview.testrail.io/index.php?/cases/view/44851" TargetMode="External"/><Relationship Id="rId213" Type="http://schemas.openxmlformats.org/officeDocument/2006/relationships/hyperlink" Target="https://shopview.testrail.io/index.php?/runs/view/415" TargetMode="External"/><Relationship Id="rId214" Type="http://schemas.openxmlformats.org/officeDocument/2006/relationships/hyperlink" Target="https://shopview.testrail.io/index.php?/cases/view/55711" TargetMode="External"/><Relationship Id="rId215" Type="http://schemas.openxmlformats.org/officeDocument/2006/relationships/hyperlink" Target="https://shopview.testrail.io/index.php?/runs/view/415" TargetMode="External"/><Relationship Id="rId216" Type="http://schemas.openxmlformats.org/officeDocument/2006/relationships/hyperlink" Target="https://shopview.testrail.io/index.php?/cases/view/45150" TargetMode="External"/><Relationship Id="rId217" Type="http://schemas.openxmlformats.org/officeDocument/2006/relationships/hyperlink" Target="https://shopview.testrail.io/index.php?/runs/view/415" TargetMode="External"/><Relationship Id="rId218" Type="http://schemas.openxmlformats.org/officeDocument/2006/relationships/hyperlink" Target="https://shopview.testrail.io/index.php?/cases/view/146205" TargetMode="External"/><Relationship Id="rId219" Type="http://schemas.openxmlformats.org/officeDocument/2006/relationships/hyperlink" Target="https://shopview.testrail.io/index.php?/runs/view/415" TargetMode="External"/><Relationship Id="rId220" Type="http://schemas.openxmlformats.org/officeDocument/2006/relationships/hyperlink" Target="https://shopview.testrail.io/index.php?/cases/view/44874" TargetMode="External"/><Relationship Id="rId221" Type="http://schemas.openxmlformats.org/officeDocument/2006/relationships/hyperlink" Target="https://shopview.testrail.io/index.php?/runs/view/415" TargetMode="External"/><Relationship Id="rId222" Type="http://schemas.openxmlformats.org/officeDocument/2006/relationships/hyperlink" Target="https://shopview.testrail.io/index.php?/cases/view/44875" TargetMode="External"/><Relationship Id="rId223" Type="http://schemas.openxmlformats.org/officeDocument/2006/relationships/hyperlink" Target="https://shopview.testrail.io/index.php?/runs/view/415" TargetMode="External"/><Relationship Id="rId224" Type="http://schemas.openxmlformats.org/officeDocument/2006/relationships/hyperlink" Target="https://shopview.testrail.io/index.php?/cases/view/146263" TargetMode="External"/><Relationship Id="rId225" Type="http://schemas.openxmlformats.org/officeDocument/2006/relationships/hyperlink" Target="https://shopview.testrail.io/index.php?/runs/view/415" TargetMode="External"/><Relationship Id="rId226" Type="http://schemas.openxmlformats.org/officeDocument/2006/relationships/hyperlink" Target="https://shopview.testrail.io/index.php?/cases/view/146271" TargetMode="External"/><Relationship Id="rId227" Type="http://schemas.openxmlformats.org/officeDocument/2006/relationships/hyperlink" Target="https://shopview.testrail.io/index.php?/runs/view/415" TargetMode="External"/><Relationship Id="rId228" Type="http://schemas.openxmlformats.org/officeDocument/2006/relationships/hyperlink" Target="https://shopview.testrail.io/index.php?/cases/view/55726" TargetMode="External"/><Relationship Id="rId229" Type="http://schemas.openxmlformats.org/officeDocument/2006/relationships/hyperlink" Target="https://shopview.testrail.io/index.php?/runs/view/415" TargetMode="External"/><Relationship Id="rId230" Type="http://schemas.openxmlformats.org/officeDocument/2006/relationships/hyperlink" Target="https://shopview.testrail.io/index.php?/cases/view/55730" TargetMode="External"/><Relationship Id="rId231" Type="http://schemas.openxmlformats.org/officeDocument/2006/relationships/hyperlink" Target="https://shopview.testrail.io/index.php?/runs/view/415" TargetMode="External"/><Relationship Id="rId232" Type="http://schemas.openxmlformats.org/officeDocument/2006/relationships/hyperlink" Target="https://shopview.testrail.io/index.php?/cases/view/44880" TargetMode="External"/><Relationship Id="rId233" Type="http://schemas.openxmlformats.org/officeDocument/2006/relationships/hyperlink" Target="https://shopview.testrail.io/index.php?/runs/view/415" TargetMode="External"/><Relationship Id="rId234" Type="http://schemas.openxmlformats.org/officeDocument/2006/relationships/hyperlink" Target="https://shopview.testrail.io/index.php?/cases/view/146228" TargetMode="External"/><Relationship Id="rId235" Type="http://schemas.openxmlformats.org/officeDocument/2006/relationships/hyperlink" Target="https://shopview.testrail.io/index.php?/runs/view/415" TargetMode="External"/><Relationship Id="rId236" Type="http://schemas.openxmlformats.org/officeDocument/2006/relationships/hyperlink" Target="https://shopview.testrail.io/index.php?/cases/view/146249" TargetMode="External"/><Relationship Id="rId237" Type="http://schemas.openxmlformats.org/officeDocument/2006/relationships/hyperlink" Target="https://shopview.testrail.io/index.php?/runs/view/415" TargetMode="External"/><Relationship Id="rId238" Type="http://schemas.openxmlformats.org/officeDocument/2006/relationships/hyperlink" Target="https://shopview.testrail.io/index.php?/cases/view/146261" TargetMode="External"/><Relationship Id="rId239" Type="http://schemas.openxmlformats.org/officeDocument/2006/relationships/hyperlink" Target="https://shopview.testrail.io/index.php?/runs/view/415" TargetMode="External"/><Relationship Id="rId240" Type="http://schemas.openxmlformats.org/officeDocument/2006/relationships/hyperlink" Target="https://shopview.testrail.io/index.php?/cases/view/146270" TargetMode="External"/><Relationship Id="rId241" Type="http://schemas.openxmlformats.org/officeDocument/2006/relationships/hyperlink" Target="https://shopview.testrail.io/index.php?/runs/view/415" TargetMode="External"/><Relationship Id="rId242" Type="http://schemas.openxmlformats.org/officeDocument/2006/relationships/hyperlink" Target="https://shopview.testrail.io/index.php?/cases/view/146281" TargetMode="External"/><Relationship Id="rId243" Type="http://schemas.openxmlformats.org/officeDocument/2006/relationships/hyperlink" Target="https://shopview.testrail.io/index.php?/runs/view/415" TargetMode="External"/><Relationship Id="rId244" Type="http://schemas.openxmlformats.org/officeDocument/2006/relationships/hyperlink" Target="https://shopview.testrail.io/index.php?/cases/view/146238" TargetMode="External"/><Relationship Id="rId245" Type="http://schemas.openxmlformats.org/officeDocument/2006/relationships/hyperlink" Target="https://shopview.testrail.io/index.php?/runs/view/415" TargetMode="External"/><Relationship Id="rId246" Type="http://schemas.openxmlformats.org/officeDocument/2006/relationships/hyperlink" Target="https://shopview.testrail.io/index.php?/cases/view/146242" TargetMode="External"/><Relationship Id="rId247" Type="http://schemas.openxmlformats.org/officeDocument/2006/relationships/hyperlink" Target="https://shopview.testrail.io/index.php?/runs/view/415" TargetMode="External"/><Relationship Id="rId248" Type="http://schemas.openxmlformats.org/officeDocument/2006/relationships/hyperlink" Target="https://shopview.testrail.io/index.php?/cases/view/146250" TargetMode="External"/><Relationship Id="rId249" Type="http://schemas.openxmlformats.org/officeDocument/2006/relationships/hyperlink" Target="https://shopview.testrail.io/index.php?/runs/view/415" TargetMode="External"/><Relationship Id="rId250" Type="http://schemas.openxmlformats.org/officeDocument/2006/relationships/hyperlink" Target="https://shopview.testrail.io/index.php?/cases/view/146204" TargetMode="External"/><Relationship Id="rId251" Type="http://schemas.openxmlformats.org/officeDocument/2006/relationships/hyperlink" Target="https://shopview.testrail.io/index.php?/runs/view/415" TargetMode="External"/><Relationship Id="rId252" Type="http://schemas.openxmlformats.org/officeDocument/2006/relationships/hyperlink" Target="https://shopview.testrail.io/index.php?/cases/view/45154" TargetMode="External"/><Relationship Id="rId253" Type="http://schemas.openxmlformats.org/officeDocument/2006/relationships/hyperlink" Target="https://shopview.testrail.io/index.php?/runs/view/415" TargetMode="External"/><Relationship Id="rId254" Type="http://schemas.openxmlformats.org/officeDocument/2006/relationships/hyperlink" Target="https://shopview.testrail.io/index.php?/cases/view/44827" TargetMode="External"/><Relationship Id="rId255" Type="http://schemas.openxmlformats.org/officeDocument/2006/relationships/hyperlink" Target="https://shopview.testrail.io/index.php?/runs/view/415" TargetMode="External"/><Relationship Id="rId256" Type="http://schemas.openxmlformats.org/officeDocument/2006/relationships/hyperlink" Target="https://shopview.testrail.io/index.php?/cases/view/44830" TargetMode="External"/><Relationship Id="rId257" Type="http://schemas.openxmlformats.org/officeDocument/2006/relationships/hyperlink" Target="https://shopview.testrail.io/index.php?/runs/view/415" TargetMode="External"/><Relationship Id="rId258" Type="http://schemas.openxmlformats.org/officeDocument/2006/relationships/hyperlink" Target="https://shopview.testrail.io/index.php?/cases/view/146197" TargetMode="External"/><Relationship Id="rId259" Type="http://schemas.openxmlformats.org/officeDocument/2006/relationships/hyperlink" Target="https://shopview.testrail.io/index.php?/runs/view/415" TargetMode="External"/><Relationship Id="rId260" Type="http://schemas.openxmlformats.org/officeDocument/2006/relationships/hyperlink" Target="https://shopview.testrail.io/index.php?/cases/view/146198" TargetMode="External"/><Relationship Id="rId261" Type="http://schemas.openxmlformats.org/officeDocument/2006/relationships/hyperlink" Target="https://shopview.testrail.io/index.php?/runs/view/415" TargetMode="External"/><Relationship Id="rId262" Type="http://schemas.openxmlformats.org/officeDocument/2006/relationships/hyperlink" Target="https://shopview.testrail.io/index.php?/cases/view/146199" TargetMode="External"/><Relationship Id="rId263" Type="http://schemas.openxmlformats.org/officeDocument/2006/relationships/hyperlink" Target="https://shopview.testrail.io/index.php?/runs/view/415" TargetMode="External"/><Relationship Id="rId264" Type="http://schemas.openxmlformats.org/officeDocument/2006/relationships/hyperlink" Target="https://shopview.testrail.io/index.php?/cases/view/146200" TargetMode="External"/><Relationship Id="rId265" Type="http://schemas.openxmlformats.org/officeDocument/2006/relationships/hyperlink" Target="https://shopview.testrail.io/index.php?/runs/view/415" TargetMode="External"/><Relationship Id="rId266" Type="http://schemas.openxmlformats.org/officeDocument/2006/relationships/hyperlink" Target="https://shopview.testrail.io/index.php?/cases/view/146201" TargetMode="External"/><Relationship Id="rId267" Type="http://schemas.openxmlformats.org/officeDocument/2006/relationships/hyperlink" Target="https://shopview.testrail.io/index.php?/runs/view/415" TargetMode="External"/><Relationship Id="rId268" Type="http://schemas.openxmlformats.org/officeDocument/2006/relationships/hyperlink" Target="https://shopview.testrail.io/index.php?/cases/view/146207" TargetMode="External"/><Relationship Id="rId269" Type="http://schemas.openxmlformats.org/officeDocument/2006/relationships/hyperlink" Target="https://shopview.testrail.io/index.php?/runs/view/415" TargetMode="External"/><Relationship Id="rId270" Type="http://schemas.openxmlformats.org/officeDocument/2006/relationships/hyperlink" Target="https://shopview.testrail.io/index.php?/cases/view/146204" TargetMode="External"/><Relationship Id="rId271" Type="http://schemas.openxmlformats.org/officeDocument/2006/relationships/hyperlink" Target="https://shopview.testrail.io/index.php?/runs/view/415" TargetMode="External"/><Relationship Id="rId272" Type="http://schemas.openxmlformats.org/officeDocument/2006/relationships/hyperlink" Target="https://shopview.testrail.io/index.php?/cases/view/146220" TargetMode="External"/><Relationship Id="rId273" Type="http://schemas.openxmlformats.org/officeDocument/2006/relationships/hyperlink" Target="https://shopview.testrail.io/index.php?/runs/view/415" TargetMode="External"/><Relationship Id="rId274" Type="http://schemas.openxmlformats.org/officeDocument/2006/relationships/hyperlink" Target="https://shopview.testrail.io/index.php?/cases/view/146221" TargetMode="External"/><Relationship Id="rId275" Type="http://schemas.openxmlformats.org/officeDocument/2006/relationships/hyperlink" Target="https://shopview.testrail.io/index.php?/runs/view/415" TargetMode="External"/><Relationship Id="rId276" Type="http://schemas.openxmlformats.org/officeDocument/2006/relationships/hyperlink" Target="https://shopview.testrail.io/index.php?/cases/view/146241" TargetMode="External"/><Relationship Id="rId277" Type="http://schemas.openxmlformats.org/officeDocument/2006/relationships/hyperlink" Target="https://shopview.testrail.io/index.php?/runs/view/415" TargetMode="External"/><Relationship Id="rId278" Type="http://schemas.openxmlformats.org/officeDocument/2006/relationships/hyperlink" Target="https://shopview.testrail.io/index.php?/cases/view/146250" TargetMode="External"/><Relationship Id="rId279" Type="http://schemas.openxmlformats.org/officeDocument/2006/relationships/hyperlink" Target="https://shopview.testrail.io/index.php?/runs/view/415" TargetMode="External"/><Relationship Id="rId280" Type="http://schemas.openxmlformats.org/officeDocument/2006/relationships/hyperlink" Target="https://shopview.testrail.io/index.php?/cases/view/146210" TargetMode="External"/><Relationship Id="rId281" Type="http://schemas.openxmlformats.org/officeDocument/2006/relationships/hyperlink" Target="https://shopview.testrail.io/index.php?/runs/view/415" TargetMode="External"/><Relationship Id="rId282" Type="http://schemas.openxmlformats.org/officeDocument/2006/relationships/hyperlink" Target="https://shopview.testrail.io/index.php?/cases/view/146211" TargetMode="External"/><Relationship Id="rId283" Type="http://schemas.openxmlformats.org/officeDocument/2006/relationships/hyperlink" Target="https://shopview.testrail.io/index.php?/runs/view/415" TargetMode="External"/><Relationship Id="rId284" Type="http://schemas.openxmlformats.org/officeDocument/2006/relationships/hyperlink" Target="https://shopview.testrail.io/index.php?/cases/view/146212" TargetMode="External"/><Relationship Id="rId285" Type="http://schemas.openxmlformats.org/officeDocument/2006/relationships/hyperlink" Target="https://shopview.testrail.io/index.php?/runs/view/415" TargetMode="External"/><Relationship Id="rId286" Type="http://schemas.openxmlformats.org/officeDocument/2006/relationships/hyperlink" Target="https://shopview.testrail.io/index.php?/cases/view/146224" TargetMode="External"/><Relationship Id="rId287" Type="http://schemas.openxmlformats.org/officeDocument/2006/relationships/hyperlink" Target="https://shopview.testrail.io/index.php?/runs/view/415" TargetMode="External"/><Relationship Id="rId288" Type="http://schemas.openxmlformats.org/officeDocument/2006/relationships/hyperlink" Target="https://shopview.testrail.io/index.php?/cases/view/146257" TargetMode="External"/><Relationship Id="rId289" Type="http://schemas.openxmlformats.org/officeDocument/2006/relationships/hyperlink" Target="https://shopview.testrail.io/index.php?/runs/view/415" TargetMode="External"/><Relationship Id="rId290" Type="http://schemas.openxmlformats.org/officeDocument/2006/relationships/hyperlink" Target="https://shopview.testrail.io/index.php?/cases/view/146277" TargetMode="External"/><Relationship Id="rId291" Type="http://schemas.openxmlformats.org/officeDocument/2006/relationships/hyperlink" Target="https://shopview.testrail.io/index.php?/runs/view/415" TargetMode="External"/><Relationship Id="rId292" Type="http://schemas.openxmlformats.org/officeDocument/2006/relationships/hyperlink" Target="https://shopview.testrail.io/index.php?/cases/view/146225" TargetMode="External"/><Relationship Id="rId293" Type="http://schemas.openxmlformats.org/officeDocument/2006/relationships/hyperlink" Target="https://shopview.testrail.io/index.php?/runs/view/415" TargetMode="External"/><Relationship Id="rId294" Type="http://schemas.openxmlformats.org/officeDocument/2006/relationships/hyperlink" Target="https://shopview.testrail.io/index.php?/cases/view/146234" TargetMode="External"/><Relationship Id="rId295" Type="http://schemas.openxmlformats.org/officeDocument/2006/relationships/hyperlink" Target="https://shopview.testrail.io/index.php?/runs/view/415" TargetMode="External"/><Relationship Id="rId296" Type="http://schemas.openxmlformats.org/officeDocument/2006/relationships/hyperlink" Target="https://shopview.testrail.io/index.php?/cases/view/146246" TargetMode="External"/><Relationship Id="rId297" Type="http://schemas.openxmlformats.org/officeDocument/2006/relationships/hyperlink" Target="https://shopview.testrail.io/index.php?/runs/view/415" TargetMode="External"/><Relationship Id="rId298" Type="http://schemas.openxmlformats.org/officeDocument/2006/relationships/hyperlink" Target="https://shopview.testrail.io/index.php?/cases/view/146258" TargetMode="External"/><Relationship Id="rId299" Type="http://schemas.openxmlformats.org/officeDocument/2006/relationships/hyperlink" Target="https://shopview.testrail.io/index.php?/runs/view/415" TargetMode="External"/><Relationship Id="rId300" Type="http://schemas.openxmlformats.org/officeDocument/2006/relationships/hyperlink" Target="https://shopview.testrail.io/index.php?/cases/view/146267" TargetMode="External"/><Relationship Id="rId301" Type="http://schemas.openxmlformats.org/officeDocument/2006/relationships/hyperlink" Target="https://shopview.testrail.io/index.php?/runs/view/415" TargetMode="External"/><Relationship Id="rId302" Type="http://schemas.openxmlformats.org/officeDocument/2006/relationships/hyperlink" Target="https://shopview.testrail.io/index.php?/cases/view/146278" TargetMode="External"/><Relationship Id="rId303" Type="http://schemas.openxmlformats.org/officeDocument/2006/relationships/hyperlink" Target="https://shopview.testrail.io/index.php?/runs/view/415" TargetMode="External"/><Relationship Id="rId304" Type="http://schemas.openxmlformats.org/officeDocument/2006/relationships/hyperlink" Target="https://shopview.testrail.io/index.php?/cases/view/146226" TargetMode="External"/><Relationship Id="rId305" Type="http://schemas.openxmlformats.org/officeDocument/2006/relationships/hyperlink" Target="https://shopview.testrail.io/index.php?/runs/view/415" TargetMode="External"/><Relationship Id="rId306" Type="http://schemas.openxmlformats.org/officeDocument/2006/relationships/hyperlink" Target="https://shopview.testrail.io/index.php?/cases/view/146259" TargetMode="External"/><Relationship Id="rId307" Type="http://schemas.openxmlformats.org/officeDocument/2006/relationships/hyperlink" Target="https://shopview.testrail.io/index.php?/runs/view/415" TargetMode="External"/><Relationship Id="rId308" Type="http://schemas.openxmlformats.org/officeDocument/2006/relationships/hyperlink" Target="https://shopview.testrail.io/index.php?/cases/view/146279" TargetMode="External"/><Relationship Id="rId309" Type="http://schemas.openxmlformats.org/officeDocument/2006/relationships/hyperlink" Target="https://shopview.testrail.io/index.php?/runs/view/415" TargetMode="External"/><Relationship Id="rId310" Type="http://schemas.openxmlformats.org/officeDocument/2006/relationships/hyperlink" Target="https://shopview.testrail.io/index.php?/cases/view/146236" TargetMode="External"/><Relationship Id="rId311" Type="http://schemas.openxmlformats.org/officeDocument/2006/relationships/hyperlink" Target="https://shopview.testrail.io/index.php?/runs/view/415" TargetMode="External"/><Relationship Id="rId312" Type="http://schemas.openxmlformats.org/officeDocument/2006/relationships/hyperlink" Target="https://shopview.testrail.io/index.php?/cases/view/146248" TargetMode="External"/><Relationship Id="rId313" Type="http://schemas.openxmlformats.org/officeDocument/2006/relationships/hyperlink" Target="https://shopview.testrail.io/index.php?/runs/view/415" TargetMode="External"/><Relationship Id="rId314" Type="http://schemas.openxmlformats.org/officeDocument/2006/relationships/hyperlink" Target="https://shopview.testrail.io/index.php?/cases/view/146260" TargetMode="External"/><Relationship Id="rId315" Type="http://schemas.openxmlformats.org/officeDocument/2006/relationships/hyperlink" Target="https://shopview.testrail.io/index.php?/runs/view/415" TargetMode="External"/><Relationship Id="rId316" Type="http://schemas.openxmlformats.org/officeDocument/2006/relationships/hyperlink" Target="https://shopview.testrail.io/index.php?/cases/view/146269" TargetMode="External"/><Relationship Id="rId317" Type="http://schemas.openxmlformats.org/officeDocument/2006/relationships/hyperlink" Target="https://shopview.testrail.io/index.php?/runs/view/415" TargetMode="External"/><Relationship Id="rId318" Type="http://schemas.openxmlformats.org/officeDocument/2006/relationships/hyperlink" Target="https://shopview.testrail.io/index.php?/cases/view/146280" TargetMode="External"/><Relationship Id="rId319" Type="http://schemas.openxmlformats.org/officeDocument/2006/relationships/hyperlink" Target="https://shopview.testrail.io/index.php?/runs/view/415" TargetMode="External"/><Relationship Id="rId320" Type="http://schemas.openxmlformats.org/officeDocument/2006/relationships/hyperlink" Target="https://shopview.testrail.io/index.php?/cases/view/146237" TargetMode="External"/><Relationship Id="rId321" Type="http://schemas.openxmlformats.org/officeDocument/2006/relationships/hyperlink" Target="https://shopview.testrail.io/index.php?/runs/view/415" TargetMode="External"/><Relationship Id="rId322" Type="http://schemas.openxmlformats.org/officeDocument/2006/relationships/hyperlink" Target="https://shopview.testrail.io/index.php?/cases/view/146249" TargetMode="External"/><Relationship Id="rId323" Type="http://schemas.openxmlformats.org/officeDocument/2006/relationships/hyperlink" Target="https://shopview.testrail.io/index.php?/runs/view/415" TargetMode="External"/><Relationship Id="rId324" Type="http://schemas.openxmlformats.org/officeDocument/2006/relationships/hyperlink" Target="https://shopview.testrail.io/index.php?/cases/view/146261" TargetMode="External"/><Relationship Id="rId325" Type="http://schemas.openxmlformats.org/officeDocument/2006/relationships/hyperlink" Target="https://shopview.testrail.io/index.php?/runs/view/415" TargetMode="External"/><Relationship Id="rId326" Type="http://schemas.openxmlformats.org/officeDocument/2006/relationships/hyperlink" Target="https://shopview.testrail.io/index.php?/cases/view/146270" TargetMode="External"/><Relationship Id="rId327" Type="http://schemas.openxmlformats.org/officeDocument/2006/relationships/hyperlink" Target="https://shopview.testrail.io/index.php?/runs/view/415" TargetMode="External"/><Relationship Id="rId328" Type="http://schemas.openxmlformats.org/officeDocument/2006/relationships/hyperlink" Target="https://shopview.testrail.io/index.php?/cases/view/146281" TargetMode="External"/><Relationship Id="rId329" Type="http://schemas.openxmlformats.org/officeDocument/2006/relationships/hyperlink" Target="https://shopview.testrail.io/index.php?/runs/view/415" TargetMode="External"/><Relationship Id="rId330" Type="http://schemas.openxmlformats.org/officeDocument/2006/relationships/hyperlink" Target="https://shopview.testrail.io/index.php?/cases/view/146231" TargetMode="External"/><Relationship Id="rId331" Type="http://schemas.openxmlformats.org/officeDocument/2006/relationships/hyperlink" Target="https://shopview.testrail.io/index.php?/runs/view/415" TargetMode="External"/><Relationship Id="rId332" Type="http://schemas.openxmlformats.org/officeDocument/2006/relationships/hyperlink" Target="https://shopview.testrail.io/index.php?/cases/view/146243" TargetMode="External"/><Relationship Id="rId333" Type="http://schemas.openxmlformats.org/officeDocument/2006/relationships/hyperlink" Target="https://shopview.testrail.io/index.php?/runs/view/415" TargetMode="External"/><Relationship Id="rId334" Type="http://schemas.openxmlformats.org/officeDocument/2006/relationships/hyperlink" Target="https://shopview.testrail.io/index.php?/cases/view/146255" TargetMode="External"/><Relationship Id="rId335" Type="http://schemas.openxmlformats.org/officeDocument/2006/relationships/hyperlink" Target="https://shopview.testrail.io/index.php?/runs/view/415" TargetMode="External"/><Relationship Id="rId336" Type="http://schemas.openxmlformats.org/officeDocument/2006/relationships/hyperlink" Target="https://shopview.testrail.io/index.php?/cases/view/146264" TargetMode="External"/><Relationship Id="rId337" Type="http://schemas.openxmlformats.org/officeDocument/2006/relationships/hyperlink" Target="https://shopview.testrail.io/index.php?/runs/view/415" TargetMode="External"/><Relationship Id="rId338" Type="http://schemas.openxmlformats.org/officeDocument/2006/relationships/hyperlink" Target="https://shopview.testrail.io/index.php?/cases/view/146275" TargetMode="External"/><Relationship Id="rId339" Type="http://schemas.openxmlformats.org/officeDocument/2006/relationships/hyperlink" Target="https://shopview.testrail.io/index.php?/runs/view/415" TargetMode="External"/><Relationship Id="rId340" Type="http://schemas.openxmlformats.org/officeDocument/2006/relationships/hyperlink" Target="https://shopview.testrail.io/index.php?/cases/view/146283" TargetMode="External"/><Relationship Id="rId341" Type="http://schemas.openxmlformats.org/officeDocument/2006/relationships/hyperlink" Target="https://shopview.testrail.io/index.php?/runs/view/415" TargetMode="External"/><Relationship Id="rId342" Type="http://schemas.openxmlformats.org/officeDocument/2006/relationships/hyperlink" Target="https://shopview.testrail.io/index.php?/cases/view/146285" TargetMode="External"/><Relationship Id="rId343" Type="http://schemas.openxmlformats.org/officeDocument/2006/relationships/hyperlink" Target="https://shopview.testrail.io/index.php?/runs/view/415" TargetMode="External"/><Relationship Id="rId344" Type="http://schemas.openxmlformats.org/officeDocument/2006/relationships/hyperlink" Target="https://shopview.testrail.io/index.php?/cases/view/146287" TargetMode="External"/><Relationship Id="rId345" Type="http://schemas.openxmlformats.org/officeDocument/2006/relationships/hyperlink" Target="https://shopview.testrail.io/index.php?/runs/view/415" TargetMode="External"/><Relationship Id="rId346" Type="http://schemas.openxmlformats.org/officeDocument/2006/relationships/hyperlink" Target="https://shopview.testrail.io/index.php?/cases/view/146288" TargetMode="External"/><Relationship Id="rId347" Type="http://schemas.openxmlformats.org/officeDocument/2006/relationships/hyperlink" Target="https://shopview.testrail.io/index.php?/runs/view/415" TargetMode="External"/><Relationship Id="rId348" Type="http://schemas.openxmlformats.org/officeDocument/2006/relationships/hyperlink" Target="https://shopview.testrail.io/index.php?/cases/view/146289" TargetMode="External"/><Relationship Id="rId349" Type="http://schemas.openxmlformats.org/officeDocument/2006/relationships/hyperlink" Target="https://shopview.testrail.io/index.php?/runs/view/415" TargetMode="External"/><Relationship Id="rId350" Type="http://schemas.openxmlformats.org/officeDocument/2006/relationships/hyperlink" Target="https://shopview.testrail.io/index.php?/cases/view/146290" TargetMode="External"/><Relationship Id="rId351" Type="http://schemas.openxmlformats.org/officeDocument/2006/relationships/hyperlink" Target="https://shopview.testrail.io/index.php?/runs/view/415" TargetMode="External"/><Relationship Id="rId352" Type="http://schemas.openxmlformats.org/officeDocument/2006/relationships/hyperlink" Target="https://shopview.testrail.io/index.php?/cases/view/146292" TargetMode="External"/><Relationship Id="rId353" Type="http://schemas.openxmlformats.org/officeDocument/2006/relationships/hyperlink" Target="https://shopview.testrail.io/index.php?/runs/view/415" TargetMode="External"/><Relationship Id="rId354" Type="http://schemas.openxmlformats.org/officeDocument/2006/relationships/hyperlink" Target="https://shopview.testrail.io/index.php?/cases/view/146293" TargetMode="External"/><Relationship Id="rId355" Type="http://schemas.openxmlformats.org/officeDocument/2006/relationships/hyperlink" Target="https://shopview.testrail.io/index.php?/runs/view/415" TargetMode="External"/><Relationship Id="rId356" Type="http://schemas.openxmlformats.org/officeDocument/2006/relationships/hyperlink" Target="https://shopview.testrail.io/index.php?/cases/view/146294" TargetMode="External"/><Relationship Id="rId357" Type="http://schemas.openxmlformats.org/officeDocument/2006/relationships/hyperlink" Target="https://shopview.testrail.io/index.php?/runs/view/415" TargetMode="External"/><Relationship Id="rId358" Type="http://schemas.openxmlformats.org/officeDocument/2006/relationships/hyperlink" Target="https://shopview.testrail.io/index.php?/cases/view/146295" TargetMode="External"/><Relationship Id="rId359" Type="http://schemas.openxmlformats.org/officeDocument/2006/relationships/hyperlink" Target="https://shopview.testrail.io/index.php?/runs/view/415" TargetMode="External"/><Relationship Id="rId360" Type="http://schemas.openxmlformats.org/officeDocument/2006/relationships/hyperlink" Target="https://shopview.testrail.io/index.php?/cases/view/146296" TargetMode="External"/><Relationship Id="rId361" Type="http://schemas.openxmlformats.org/officeDocument/2006/relationships/hyperlink" Target="https://shopview.testrail.io/index.php?/runs/view/415" TargetMode="External"/><Relationship Id="rId362" Type="http://schemas.openxmlformats.org/officeDocument/2006/relationships/hyperlink" Target="https://shopview.testrail.io/index.php?/cases/view/146297" TargetMode="External"/><Relationship Id="rId363" Type="http://schemas.openxmlformats.org/officeDocument/2006/relationships/hyperlink" Target="https://shopview.testrail.io/index.php?/runs/view/415" TargetMode="External"/><Relationship Id="rId364" Type="http://schemas.openxmlformats.org/officeDocument/2006/relationships/hyperlink" Target="https://shopview.testrail.io/index.php?/cases/view/146298" TargetMode="External"/><Relationship Id="rId365" Type="http://schemas.openxmlformats.org/officeDocument/2006/relationships/hyperlink" Target="https://shopview.testrail.io/index.php?/runs/view/415" TargetMode="External"/><Relationship Id="rId366" Type="http://schemas.openxmlformats.org/officeDocument/2006/relationships/hyperlink" Target="https://shopview.testrail.io/index.php?/cases/view/146299" TargetMode="External"/><Relationship Id="rId367" Type="http://schemas.openxmlformats.org/officeDocument/2006/relationships/hyperlink" Target="https://shopview.testrail.io/index.php?/runs/view/415" TargetMode="External"/><Relationship Id="rId368" Type="http://schemas.openxmlformats.org/officeDocument/2006/relationships/hyperlink" Target="https://shopview.testrail.io/index.php?/cases/view/146300" TargetMode="External"/><Relationship Id="rId369" Type="http://schemas.openxmlformats.org/officeDocument/2006/relationships/hyperlink" Target="https://shopview.testrail.io/index.php?/runs/view/415" TargetMode="External"/><Relationship Id="rId370" Type="http://schemas.openxmlformats.org/officeDocument/2006/relationships/hyperlink" Target="https://shopview.testrail.io/index.php?/cases/view/146302" TargetMode="External"/><Relationship Id="rId371" Type="http://schemas.openxmlformats.org/officeDocument/2006/relationships/hyperlink" Target="https://shopview.testrail.io/index.php?/runs/view/415" TargetMode="External"/><Relationship Id="rId372" Type="http://schemas.openxmlformats.org/officeDocument/2006/relationships/hyperlink" Target="https://shopview.testrail.io/index.php?/cases/view/146303" TargetMode="External"/><Relationship Id="rId373" Type="http://schemas.openxmlformats.org/officeDocument/2006/relationships/hyperlink" Target="https://shopview.testrail.io/index.php?/runs/view/415" TargetMode="External"/><Relationship Id="rId374" Type="http://schemas.openxmlformats.org/officeDocument/2006/relationships/hyperlink" Target="https://shopview.testrail.io/index.php?/cases/view/146304" TargetMode="External"/><Relationship Id="rId375" Type="http://schemas.openxmlformats.org/officeDocument/2006/relationships/hyperlink" Target="https://shopview.testrail.io/index.php?/runs/view/415" TargetMode="External"/><Relationship Id="rId376" Type="http://schemas.openxmlformats.org/officeDocument/2006/relationships/hyperlink" Target="https://shopview.testrail.io/index.php?/cases/view/146305" TargetMode="External"/><Relationship Id="rId377" Type="http://schemas.openxmlformats.org/officeDocument/2006/relationships/hyperlink" Target="https://shopview.testrail.io/index.php?/runs/view/415" TargetMode="External"/><Relationship Id="rId378" Type="http://schemas.openxmlformats.org/officeDocument/2006/relationships/hyperlink" Target="https://shopview.testrail.io/index.php?/cases/view/146301" TargetMode="External"/><Relationship Id="rId379" Type="http://schemas.openxmlformats.org/officeDocument/2006/relationships/hyperlink" Target="https://shopview.testrail.io/index.php?/runs/view/415" TargetMode="External"/><Relationship Id="rId380" Type="http://schemas.openxmlformats.org/officeDocument/2006/relationships/hyperlink" Target="https://shopview.testrail.io/index.php?/cases/view/44804" TargetMode="External"/><Relationship Id="rId381" Type="http://schemas.openxmlformats.org/officeDocument/2006/relationships/hyperlink" Target="https://shopview.testrail.io/index.php?/runs/view/415" TargetMode="External"/><Relationship Id="rId382" Type="http://schemas.openxmlformats.org/officeDocument/2006/relationships/hyperlink" Target="https://shopview.testrail.io/index.php?/cases/view/44805" TargetMode="External"/><Relationship Id="rId383" Type="http://schemas.openxmlformats.org/officeDocument/2006/relationships/hyperlink" Target="https://shopview.testrail.io/index.php?/runs/view/415" TargetMode="External"/><Relationship Id="rId384" Type="http://schemas.openxmlformats.org/officeDocument/2006/relationships/hyperlink" Target="https://shopview.testrail.io/index.php?/cases/view/44806" TargetMode="External"/><Relationship Id="rId385" Type="http://schemas.openxmlformats.org/officeDocument/2006/relationships/hyperlink" Target="https://shopview.testrail.io/index.php?/runs/view/415" TargetMode="External"/><Relationship Id="rId386" Type="http://schemas.openxmlformats.org/officeDocument/2006/relationships/hyperlink" Target="https://shopview.testrail.io/index.php?/cases/view/44807" TargetMode="External"/><Relationship Id="rId387" Type="http://schemas.openxmlformats.org/officeDocument/2006/relationships/hyperlink" Target="https://shopview.testrail.io/index.php?/runs/view/415" TargetMode="External"/><Relationship Id="rId388" Type="http://schemas.openxmlformats.org/officeDocument/2006/relationships/hyperlink" Target="https://shopview.testrail.io/index.php?/cases/view/44808" TargetMode="External"/><Relationship Id="rId389" Type="http://schemas.openxmlformats.org/officeDocument/2006/relationships/hyperlink" Target="https://shopview.testrail.io/index.php?/runs/view/415" TargetMode="External"/><Relationship Id="rId390" Type="http://schemas.openxmlformats.org/officeDocument/2006/relationships/hyperlink" Target="https://shopview.testrail.io/index.php?/cases/view/44812" TargetMode="External"/><Relationship Id="rId391" Type="http://schemas.openxmlformats.org/officeDocument/2006/relationships/hyperlink" Target="https://shopview.testrail.io/index.php?/runs/view/415" TargetMode="External"/><Relationship Id="rId392" Type="http://schemas.openxmlformats.org/officeDocument/2006/relationships/hyperlink" Target="https://shopview.testrail.io/index.php?/cases/view/44813" TargetMode="External"/><Relationship Id="rId393" Type="http://schemas.openxmlformats.org/officeDocument/2006/relationships/hyperlink" Target="https://shopview.testrail.io/index.php?/runs/view/415" TargetMode="External"/><Relationship Id="rId394" Type="http://schemas.openxmlformats.org/officeDocument/2006/relationships/hyperlink" Target="https://shopview.testrail.io/index.php?/cases/view/137996" TargetMode="External"/><Relationship Id="rId395" Type="http://schemas.openxmlformats.org/officeDocument/2006/relationships/hyperlink" Target="https://shopview.testrail.io/index.php?/runs/view/415" TargetMode="External"/><Relationship Id="rId396" Type="http://schemas.openxmlformats.org/officeDocument/2006/relationships/hyperlink" Target="https://shopview.testrail.io/index.php?/cases/view/44814" TargetMode="External"/><Relationship Id="rId397" Type="http://schemas.openxmlformats.org/officeDocument/2006/relationships/hyperlink" Target="https://shopview.testrail.io/index.php?/runs/view/415" TargetMode="External"/><Relationship Id="rId398" Type="http://schemas.openxmlformats.org/officeDocument/2006/relationships/hyperlink" Target="https://shopview.testrail.io/index.php?/cases/view/55683" TargetMode="External"/><Relationship Id="rId399" Type="http://schemas.openxmlformats.org/officeDocument/2006/relationships/hyperlink" Target="https://shopview.testrail.io/index.php?/runs/view/415" TargetMode="External"/><Relationship Id="rId400" Type="http://schemas.openxmlformats.org/officeDocument/2006/relationships/hyperlink" Target="https://shopview.testrail.io/index.php?/cases/view/45142" TargetMode="External"/><Relationship Id="rId401" Type="http://schemas.openxmlformats.org/officeDocument/2006/relationships/hyperlink" Target="https://shopview.testrail.io/index.php?/runs/view/415" TargetMode="External"/><Relationship Id="rId402" Type="http://schemas.openxmlformats.org/officeDocument/2006/relationships/hyperlink" Target="https://shopview.testrail.io/index.php?/cases/view/44844" TargetMode="External"/><Relationship Id="rId403" Type="http://schemas.openxmlformats.org/officeDocument/2006/relationships/hyperlink" Target="https://shopview.testrail.io/index.php?/runs/view/415" TargetMode="External"/><Relationship Id="rId404" Type="http://schemas.openxmlformats.org/officeDocument/2006/relationships/hyperlink" Target="https://shopview.testrail.io/index.php?/cases/view/44846" TargetMode="External"/><Relationship Id="rId405" Type="http://schemas.openxmlformats.org/officeDocument/2006/relationships/hyperlink" Target="https://shopview.testrail.io/index.php?/runs/view/415" TargetMode="External"/><Relationship Id="rId406" Type="http://schemas.openxmlformats.org/officeDocument/2006/relationships/hyperlink" Target="https://shopview.testrail.io/index.php?/cases/view/44849" TargetMode="External"/><Relationship Id="rId407" Type="http://schemas.openxmlformats.org/officeDocument/2006/relationships/hyperlink" Target="https://shopview.testrail.io/index.php?/runs/view/415" TargetMode="External"/><Relationship Id="rId408" Type="http://schemas.openxmlformats.org/officeDocument/2006/relationships/hyperlink" Target="https://shopview.testrail.io/index.php?/cases/view/44847" TargetMode="External"/><Relationship Id="rId409" Type="http://schemas.openxmlformats.org/officeDocument/2006/relationships/hyperlink" Target="https://shopview.testrail.io/index.php?/runs/view/415" TargetMode="External"/><Relationship Id="rId410" Type="http://schemas.openxmlformats.org/officeDocument/2006/relationships/hyperlink" Target="https://shopview.testrail.io/index.php?/cases/view/55659" TargetMode="External"/><Relationship Id="rId411" Type="http://schemas.openxmlformats.org/officeDocument/2006/relationships/hyperlink" Target="https://shopview.testrail.io/index.php?/runs/view/415" TargetMode="External"/><Relationship Id="rId412" Type="http://schemas.openxmlformats.org/officeDocument/2006/relationships/hyperlink" Target="https://shopview.testrail.io/index.php?/cases/view/44864" TargetMode="External"/><Relationship Id="rId413" Type="http://schemas.openxmlformats.org/officeDocument/2006/relationships/hyperlink" Target="https://shopview.testrail.io/index.php?/runs/view/415" TargetMode="External"/><Relationship Id="rId414" Type="http://schemas.openxmlformats.org/officeDocument/2006/relationships/hyperlink" Target="https://shopview.testrail.io/index.php?/cases/view/55725" TargetMode="External"/><Relationship Id="rId415" Type="http://schemas.openxmlformats.org/officeDocument/2006/relationships/hyperlink" Target="https://shopview.testrail.io/index.php?/runs/view/415" TargetMode="External"/><Relationship Id="rId416" Type="http://schemas.openxmlformats.org/officeDocument/2006/relationships/hyperlink" Target="https://shopview.testrail.io/index.php?/cases/view/55713" TargetMode="External"/><Relationship Id="rId417" Type="http://schemas.openxmlformats.org/officeDocument/2006/relationships/hyperlink" Target="https://shopview.testrail.io/index.php?/runs/view/415" TargetMode="External"/><Relationship Id="rId418" Type="http://schemas.openxmlformats.org/officeDocument/2006/relationships/hyperlink" Target="https://shopview.testrail.io/index.php?/cases/view/55661" TargetMode="External"/><Relationship Id="rId419" Type="http://schemas.openxmlformats.org/officeDocument/2006/relationships/hyperlink" Target="https://shopview.testrail.io/index.php?/runs/view/415" TargetMode="External"/><Relationship Id="rId420" Type="http://schemas.openxmlformats.org/officeDocument/2006/relationships/hyperlink" Target="https://shopview.testrail.io/index.php?/cases/view/44838" TargetMode="External"/><Relationship Id="rId421" Type="http://schemas.openxmlformats.org/officeDocument/2006/relationships/hyperlink" Target="https://shopview.testrail.io/index.php?/runs/view/415" TargetMode="External"/><Relationship Id="rId422" Type="http://schemas.openxmlformats.org/officeDocument/2006/relationships/hyperlink" Target="https://shopview.testrail.io/index.php?/runs/view/415" TargetMode="External"/><Relationship Id="rId423" Type="http://schemas.openxmlformats.org/officeDocument/2006/relationships/hyperlink" Target="https://shopview.testrail.io/index.php?/cases/view/53578" TargetMode="External"/><Relationship Id="rId424" Type="http://schemas.openxmlformats.org/officeDocument/2006/relationships/hyperlink" Target="https://shopview.testrail.io/index.php?/runs/view/415" TargetMode="External"/><Relationship Id="rId425" Type="http://schemas.openxmlformats.org/officeDocument/2006/relationships/hyperlink" Target="https://shopview.testrail.io/index.php?/cases/view/53580" TargetMode="External"/><Relationship Id="rId426" Type="http://schemas.openxmlformats.org/officeDocument/2006/relationships/hyperlink" Target="https://shopview.testrail.io/index.php?/runs/view/415" TargetMode="External"/><Relationship Id="rId427" Type="http://schemas.openxmlformats.org/officeDocument/2006/relationships/hyperlink" Target="https://shopview.testrail.io/index.php?/cases/view/53581" TargetMode="External"/><Relationship Id="rId428" Type="http://schemas.openxmlformats.org/officeDocument/2006/relationships/hyperlink" Target="https://shopview.testrail.io/index.php?/runs/view/415" TargetMode="External"/><Relationship Id="rId429" Type="http://schemas.openxmlformats.org/officeDocument/2006/relationships/hyperlink" Target="https://shopview.testrail.io/index.php?/cases/view/53607" TargetMode="External"/><Relationship Id="rId430" Type="http://schemas.openxmlformats.org/officeDocument/2006/relationships/hyperlink" Target="https://shopview.testrail.io/index.php?/runs/view/415" TargetMode="External"/><Relationship Id="rId431" Type="http://schemas.openxmlformats.org/officeDocument/2006/relationships/hyperlink" Target="https://shopview.testrail.io/index.php?/cases/view/55663" TargetMode="External"/><Relationship Id="rId432" Type="http://schemas.openxmlformats.org/officeDocument/2006/relationships/hyperlink" Target="https://shopview.testrail.io/index.php?/runs/view/415" TargetMode="External"/><Relationship Id="rId433" Type="http://schemas.openxmlformats.org/officeDocument/2006/relationships/hyperlink" Target="https://shopview.testrail.io/index.php?/cases/view/55665" TargetMode="External"/><Relationship Id="rId434" Type="http://schemas.openxmlformats.org/officeDocument/2006/relationships/hyperlink" Target="https://shopview.testrail.io/index.php?/runs/view/415" TargetMode="External"/><Relationship Id="rId435" Type="http://schemas.openxmlformats.org/officeDocument/2006/relationships/hyperlink" Target="https://shopview.testrail.io/index.php?/cases/view/55666" TargetMode="External"/><Relationship Id="rId436" Type="http://schemas.openxmlformats.org/officeDocument/2006/relationships/hyperlink" Target="https://shopview.testrail.io/index.php?/runs/view/415" TargetMode="External"/><Relationship Id="rId437" Type="http://schemas.openxmlformats.org/officeDocument/2006/relationships/hyperlink" Target="https://shopview.testrail.io/index.php?/cases/view/55667" TargetMode="External"/><Relationship Id="rId438" Type="http://schemas.openxmlformats.org/officeDocument/2006/relationships/hyperlink" Target="https://shopview.testrail.io/index.php?/runs/view/415" TargetMode="External"/><Relationship Id="rId439" Type="http://schemas.openxmlformats.org/officeDocument/2006/relationships/hyperlink" Target="https://shopview.testrail.io/index.php?/cases/view/55668" TargetMode="External"/><Relationship Id="rId440" Type="http://schemas.openxmlformats.org/officeDocument/2006/relationships/hyperlink" Target="https://shopview.testrail.io/index.php?/runs/view/415" TargetMode="External"/><Relationship Id="rId441" Type="http://schemas.openxmlformats.org/officeDocument/2006/relationships/hyperlink" Target="https://shopview.testrail.io/index.php?/cases/view/55671" TargetMode="External"/><Relationship Id="rId442" Type="http://schemas.openxmlformats.org/officeDocument/2006/relationships/hyperlink" Target="https://shopview.testrail.io/index.php?/runs/view/415" TargetMode="External"/><Relationship Id="rId443" Type="http://schemas.openxmlformats.org/officeDocument/2006/relationships/hyperlink" Target="https://shopview.testrail.io/index.php?/cases/view/55688" TargetMode="External"/><Relationship Id="rId444" Type="http://schemas.openxmlformats.org/officeDocument/2006/relationships/hyperlink" Target="https://shopview.testrail.io/index.php?/runs/view/415" TargetMode="External"/><Relationship Id="rId445" Type="http://schemas.openxmlformats.org/officeDocument/2006/relationships/hyperlink" Target="https://shopview.testrail.io/index.php?/cases/view/55689" TargetMode="External"/><Relationship Id="rId446" Type="http://schemas.openxmlformats.org/officeDocument/2006/relationships/hyperlink" Target="https://shopview.testrail.io/index.php?/runs/view/415" TargetMode="External"/><Relationship Id="rId447" Type="http://schemas.openxmlformats.org/officeDocument/2006/relationships/hyperlink" Target="https://shopview.testrail.io/index.php?/cases/view/45156" TargetMode="External"/><Relationship Id="rId448" Type="http://schemas.openxmlformats.org/officeDocument/2006/relationships/hyperlink" Target="https://shopview.testrail.io/index.php?/runs/view/415" TargetMode="External"/><Relationship Id="rId449" Type="http://schemas.openxmlformats.org/officeDocument/2006/relationships/hyperlink" Target="https://shopview.testrail.io/index.php?/cases/view/45161" TargetMode="External"/><Relationship Id="rId450" Type="http://schemas.openxmlformats.org/officeDocument/2006/relationships/hyperlink" Target="https://shopview.testrail.io/index.php?/runs/view/415" TargetMode="External"/><Relationship Id="rId451" Type="http://schemas.openxmlformats.org/officeDocument/2006/relationships/hyperlink" Target="https://shopview.testrail.io/index.php?/cases/view/45155" TargetMode="External"/><Relationship Id="rId452" Type="http://schemas.openxmlformats.org/officeDocument/2006/relationships/hyperlink" Target="https://shopview.testrail.io/index.php?/runs/view/415" TargetMode="External"/><Relationship Id="rId453" Type="http://schemas.openxmlformats.org/officeDocument/2006/relationships/hyperlink" Target="https://shopview.testrail.io/index.php?/cases/view/55675" TargetMode="External"/><Relationship Id="rId454" Type="http://schemas.openxmlformats.org/officeDocument/2006/relationships/hyperlink" Target="https://shopview.testrail.io/index.php?/runs/view/415" TargetMode="External"/><Relationship Id="rId455" Type="http://schemas.openxmlformats.org/officeDocument/2006/relationships/hyperlink" Target="https://shopview.testrail.io/index.php?/cases/view/55673" TargetMode="External"/><Relationship Id="rId456" Type="http://schemas.openxmlformats.org/officeDocument/2006/relationships/hyperlink" Target="https://shopview.testrail.io/index.php?/runs/view/415" TargetMode="External"/><Relationship Id="rId457" Type="http://schemas.openxmlformats.org/officeDocument/2006/relationships/hyperlink" Target="https://shopview.testrail.io/index.php?/cases/view/55680" TargetMode="External"/><Relationship Id="rId458" Type="http://schemas.openxmlformats.org/officeDocument/2006/relationships/hyperlink" Target="https://shopview.testrail.io/index.php?/runs/view/415" TargetMode="External"/><Relationship Id="rId459" Type="http://schemas.openxmlformats.org/officeDocument/2006/relationships/hyperlink" Target="https://shopview.testrail.io/index.php?/cases/view/55682" TargetMode="External"/><Relationship Id="rId460" Type="http://schemas.openxmlformats.org/officeDocument/2006/relationships/hyperlink" Target="https://shopview.testrail.io/index.php?/runs/view/415" TargetMode="External"/><Relationship Id="rId461" Type="http://schemas.openxmlformats.org/officeDocument/2006/relationships/hyperlink" Target="https://shopview.testrail.io/index.php?/cases/view/45157" TargetMode="External"/><Relationship Id="rId462" Type="http://schemas.openxmlformats.org/officeDocument/2006/relationships/hyperlink" Target="https://shopview.testrail.io/index.php?/runs/view/415" TargetMode="External"/><Relationship Id="rId463" Type="http://schemas.openxmlformats.org/officeDocument/2006/relationships/hyperlink" Target="https://shopview.testrail.io/index.php?/cases/view/53589" TargetMode="External"/><Relationship Id="rId464" Type="http://schemas.openxmlformats.org/officeDocument/2006/relationships/hyperlink" Target="https://shopview.testrail.io/index.php?/runs/view/415" TargetMode="External"/><Relationship Id="rId465" Type="http://schemas.openxmlformats.org/officeDocument/2006/relationships/hyperlink" Target="https://shopview.testrail.io/index.php?/cases/view/44861" TargetMode="External"/><Relationship Id="rId466" Type="http://schemas.openxmlformats.org/officeDocument/2006/relationships/hyperlink" Target="https://shopview.testrail.io/index.php?/runs/view/415" TargetMode="External"/><Relationship Id="rId467" Type="http://schemas.openxmlformats.org/officeDocument/2006/relationships/hyperlink" Target="https://shopview.testrail.io/index.php?/cases/view/44878" TargetMode="External"/><Relationship Id="rId468" Type="http://schemas.openxmlformats.org/officeDocument/2006/relationships/hyperlink" Target="https://shopview.testrail.io/index.php?/runs/view/415" TargetMode="External"/><Relationship Id="rId469" Type="http://schemas.openxmlformats.org/officeDocument/2006/relationships/hyperlink" Target="https://shopview.testrail.io/index.php?/cases/view/45145" TargetMode="External"/><Relationship Id="rId470" Type="http://schemas.openxmlformats.org/officeDocument/2006/relationships/hyperlink" Target="https://shopview.testrail.io/index.php?/runs/view/415" TargetMode="External"/><Relationship Id="rId471" Type="http://schemas.openxmlformats.org/officeDocument/2006/relationships/hyperlink" Target="https://shopview.testrail.io/index.php?/cases/view/55704" TargetMode="External"/><Relationship Id="rId472" Type="http://schemas.openxmlformats.org/officeDocument/2006/relationships/hyperlink" Target="https://shopview.testrail.io/index.php?/runs/view/415" TargetMode="External"/><Relationship Id="rId473" Type="http://schemas.openxmlformats.org/officeDocument/2006/relationships/hyperlink" Target="https://shopview.testrail.io/index.php?/cases/view/55731" TargetMode="External"/><Relationship Id="rId474" Type="http://schemas.openxmlformats.org/officeDocument/2006/relationships/hyperlink" Target="https://shopview.testrail.io/index.php?/runs/view/415" TargetMode="External"/><Relationship Id="rId475" Type="http://schemas.openxmlformats.org/officeDocument/2006/relationships/hyperlink" Target="https://shopview.testrail.io/index.php?/cases/view/55734" TargetMode="External"/><Relationship Id="rId476" Type="http://schemas.openxmlformats.org/officeDocument/2006/relationships/hyperlink" Target="https://shopview.testrail.io/index.php?/runs/view/415" TargetMode="External"/><Relationship Id="rId477" Type="http://schemas.openxmlformats.org/officeDocument/2006/relationships/hyperlink" Target="https://shopview.testrail.io/index.php?/cases/view/55735" TargetMode="External"/><Relationship Id="rId478" Type="http://schemas.openxmlformats.org/officeDocument/2006/relationships/hyperlink" Target="https://shopview.testrail.io/index.php?/runs/view/415" TargetMode="External"/><Relationship Id="rId479" Type="http://schemas.openxmlformats.org/officeDocument/2006/relationships/hyperlink" Target="https://shopview.testrail.io/index.php?/cases/view/44881" TargetMode="External"/><Relationship Id="rId480" Type="http://schemas.openxmlformats.org/officeDocument/2006/relationships/hyperlink" Target="https://shopview.testrail.io/index.php?/runs/view/415" TargetMode="External"/><Relationship Id="rId481" Type="http://schemas.openxmlformats.org/officeDocument/2006/relationships/hyperlink" Target="https://shopview.testrail.io/index.php?/cases/view/55718" TargetMode="External"/><Relationship Id="rId482" Type="http://schemas.openxmlformats.org/officeDocument/2006/relationships/hyperlink" Target="https://shopview.testrail.io/index.php?/runs/view/415" TargetMode="External"/><Relationship Id="rId483" Type="http://schemas.openxmlformats.org/officeDocument/2006/relationships/hyperlink" Target="https://shopview.testrail.io/index.php?/cases/view/55721" TargetMode="External"/><Relationship Id="rId484" Type="http://schemas.openxmlformats.org/officeDocument/2006/relationships/hyperlink" Target="https://shopview.testrail.io/index.php?/runs/view/415" TargetMode="External"/><Relationship Id="rId485" Type="http://schemas.openxmlformats.org/officeDocument/2006/relationships/hyperlink" Target="https://shopview.testrail.io/index.php?/cases/view/55717" TargetMode="External"/><Relationship Id="rId486" Type="http://schemas.openxmlformats.org/officeDocument/2006/relationships/hyperlink" Target="https://shopview.testrail.io/index.php?/runs/view/415" TargetMode="External"/><Relationship Id="rId487" Type="http://schemas.openxmlformats.org/officeDocument/2006/relationships/hyperlink" Target="https://shopview.testrail.io/index.php?/cases/view/45149" TargetMode="External"/><Relationship Id="rId488" Type="http://schemas.openxmlformats.org/officeDocument/2006/relationships/hyperlink" Target="https://shopview.testrail.io/index.php?/runs/view/415" TargetMode="External"/><Relationship Id="rId489" Type="http://schemas.openxmlformats.org/officeDocument/2006/relationships/hyperlink" Target="https://shopview.testrail.io/index.php?/cases/view/45148" TargetMode="External"/><Relationship Id="rId490" Type="http://schemas.openxmlformats.org/officeDocument/2006/relationships/hyperlink" Target="https://shopview.testrail.io/index.php?/runs/view/415" TargetMode="External"/><Relationship Id="rId491" Type="http://schemas.openxmlformats.org/officeDocument/2006/relationships/hyperlink" Target="https://shopview.testrail.io/index.php?/cases/view/44860" TargetMode="External"/><Relationship Id="rId492" Type="http://schemas.openxmlformats.org/officeDocument/2006/relationships/hyperlink" Target="https://shopview.testrail.io/index.php?/runs/view/415" TargetMode="External"/><Relationship Id="rId493" Type="http://schemas.openxmlformats.org/officeDocument/2006/relationships/hyperlink" Target="https://shopview.testrail.io/index.php?/cases/view/44852" TargetMode="External"/><Relationship Id="rId494" Type="http://schemas.openxmlformats.org/officeDocument/2006/relationships/hyperlink" Target="https://shopview.testrail.io/index.php?/runs/view/415" TargetMode="External"/><Relationship Id="rId495" Type="http://schemas.openxmlformats.org/officeDocument/2006/relationships/hyperlink" Target="https://shopview.testrail.io/index.php?/cases/view/53588" TargetMode="External"/><Relationship Id="rId496" Type="http://schemas.openxmlformats.org/officeDocument/2006/relationships/hyperlink" Target="https://shopview.testrail.io/index.php?/runs/view/415" TargetMode="External"/><Relationship Id="rId497" Type="http://schemas.openxmlformats.org/officeDocument/2006/relationships/hyperlink" Target="https://shopview.testrail.io/index.php?/cases/view/45128" TargetMode="External"/><Relationship Id="rId498" Type="http://schemas.openxmlformats.org/officeDocument/2006/relationships/hyperlink" Target="https://shopview.testrail.io/index.php?/runs/view/415" TargetMode="External"/><Relationship Id="rId499" Type="http://schemas.openxmlformats.org/officeDocument/2006/relationships/hyperlink" Target="https://shopview.testrail.io/index.php?/cases/view/55674" TargetMode="External"/><Relationship Id="rId500" Type="http://schemas.openxmlformats.org/officeDocument/2006/relationships/hyperlink" Target="https://shopview.testrail.io/index.php?/runs/view/415" TargetMode="External"/><Relationship Id="rId501" Type="http://schemas.openxmlformats.org/officeDocument/2006/relationships/hyperlink" Target="https://shopview.testrail.io/index.php?/cases/view/45135" TargetMode="External"/><Relationship Id="rId502" Type="http://schemas.openxmlformats.org/officeDocument/2006/relationships/hyperlink" Target="https://shopview.testrail.io/index.php?/runs/view/415" TargetMode="External"/><Relationship Id="rId503" Type="http://schemas.openxmlformats.org/officeDocument/2006/relationships/hyperlink" Target="https://shopview.testrail.io/index.php?/cases/view/44850" TargetMode="External"/><Relationship Id="rId504" Type="http://schemas.openxmlformats.org/officeDocument/2006/relationships/hyperlink" Target="https://shopview.testrail.io/index.php?/runs/view/415" TargetMode="External"/><Relationship Id="rId505" Type="http://schemas.openxmlformats.org/officeDocument/2006/relationships/hyperlink" Target="https://shopview.testrail.io/index.php?/cases/view/55729" TargetMode="External"/><Relationship Id="rId506" Type="http://schemas.openxmlformats.org/officeDocument/2006/relationships/hyperlink" Target="https://shopview.testrail.io/index.php?/runs/view/415" TargetMode="External"/><Relationship Id="rId507" Type="http://schemas.openxmlformats.org/officeDocument/2006/relationships/hyperlink" Target="https://shopview.testrail.io/index.php?/cases/view/44853" TargetMode="External"/><Relationship Id="rId508" Type="http://schemas.openxmlformats.org/officeDocument/2006/relationships/hyperlink" Target="https://shopview.testrail.io/index.php?/runs/view/415" TargetMode="External"/><Relationship Id="rId509" Type="http://schemas.openxmlformats.org/officeDocument/2006/relationships/hyperlink" Target="https://shopview.testrail.io/index.php?/cases/view/44854" TargetMode="External"/><Relationship Id="rId510" Type="http://schemas.openxmlformats.org/officeDocument/2006/relationships/hyperlink" Target="https://shopview.testrail.io/index.php?/runs/view/415" TargetMode="External"/><Relationship Id="rId511" Type="http://schemas.openxmlformats.org/officeDocument/2006/relationships/hyperlink" Target="https://shopview.testrail.io/index.php?/cases/view/55708" TargetMode="External"/><Relationship Id="rId512" Type="http://schemas.openxmlformats.org/officeDocument/2006/relationships/hyperlink" Target="https://shopview.testrail.io/index.php?/runs/view/415" TargetMode="External"/><Relationship Id="rId513" Type="http://schemas.openxmlformats.org/officeDocument/2006/relationships/hyperlink" Target="https://shopview.testrail.io/index.php?/cases/view/55709" TargetMode="External"/><Relationship Id="rId514" Type="http://schemas.openxmlformats.org/officeDocument/2006/relationships/hyperlink" Target="https://shopview.testrail.io/index.php?/runs/view/415" TargetMode="External"/><Relationship Id="rId515" Type="http://schemas.openxmlformats.org/officeDocument/2006/relationships/hyperlink" Target="https://shopview.testrail.io/index.php?/cases/view/55710" TargetMode="External"/><Relationship Id="rId516" Type="http://schemas.openxmlformats.org/officeDocument/2006/relationships/hyperlink" Target="https://shopview.testrail.io/index.php?/runs/view/415" TargetMode="External"/><Relationship Id="rId517" Type="http://schemas.openxmlformats.org/officeDocument/2006/relationships/hyperlink" Target="https://shopview.testrail.io/index.php?/cases/view/55722" TargetMode="External"/><Relationship Id="rId518" Type="http://schemas.openxmlformats.org/officeDocument/2006/relationships/hyperlink" Target="https://shopview.testrail.io/index.php?/runs/view/415" TargetMode="External"/><Relationship Id="rId519" Type="http://schemas.openxmlformats.org/officeDocument/2006/relationships/hyperlink" Target="https://shopview.testrail.io/index.php?/cases/view/44899" TargetMode="External"/><Relationship Id="rId520" Type="http://schemas.openxmlformats.org/officeDocument/2006/relationships/hyperlink" Target="https://shopview.testrail.io/index.php?/runs/view/415" TargetMode="External"/><Relationship Id="rId521" Type="http://schemas.openxmlformats.org/officeDocument/2006/relationships/hyperlink" Target="https://shopview.testrail.io/index.php?/cases/view/44900" TargetMode="External"/><Relationship Id="rId522" Type="http://schemas.openxmlformats.org/officeDocument/2006/relationships/hyperlink" Target="https://shopview.testrail.io/index.php?/runs/view/415" TargetMode="External"/><Relationship Id="rId523" Type="http://schemas.openxmlformats.org/officeDocument/2006/relationships/hyperlink" Target="https://shopview.testrail.io/index.php?/cases/view/146262" TargetMode="External"/><Relationship Id="rId524" Type="http://schemas.openxmlformats.org/officeDocument/2006/relationships/hyperlink" Target="https://shopview.testrail.io/index.php?/runs/view/415" TargetMode="External"/><Relationship Id="rId525" Type="http://schemas.openxmlformats.org/officeDocument/2006/relationships/hyperlink" Target="https://shopview.testrail.io/index.php?/cases/view/55736" TargetMode="External"/><Relationship Id="rId526" Type="http://schemas.openxmlformats.org/officeDocument/2006/relationships/hyperlink" Target="https://shopview.testrail.io/index.php?/runs/view/415" TargetMode="External"/><Relationship Id="rId527" Type="http://schemas.openxmlformats.org/officeDocument/2006/relationships/hyperlink" Target="https://shopview.testrail.io/index.php?/cases/view/44857" TargetMode="External"/><Relationship Id="rId528" Type="http://schemas.openxmlformats.org/officeDocument/2006/relationships/hyperlink" Target="https://shopview.testrail.io/index.php?/runs/view/415" TargetMode="External"/><Relationship Id="rId529" Type="http://schemas.openxmlformats.org/officeDocument/2006/relationships/hyperlink" Target="https://shopview.testrail.io/index.php?/cases/view/44858" TargetMode="External"/><Relationship Id="rId530" Type="http://schemas.openxmlformats.org/officeDocument/2006/relationships/hyperlink" Target="https://shopview.testrail.io/index.php?/runs/view/415" TargetMode="External"/><Relationship Id="rId531" Type="http://schemas.openxmlformats.org/officeDocument/2006/relationships/hyperlink" Target="https://shopview.testrail.io/index.php?/cases/view/44859" TargetMode="External"/><Relationship Id="rId532" Type="http://schemas.openxmlformats.org/officeDocument/2006/relationships/hyperlink" Target="https://shopview.testrail.io/index.php?/runs/view/415" TargetMode="External"/><Relationship Id="rId533" Type="http://schemas.openxmlformats.org/officeDocument/2006/relationships/hyperlink" Target="https://shopview.testrail.io/index.php?/cases/view/44865" TargetMode="External"/><Relationship Id="rId534" Type="http://schemas.openxmlformats.org/officeDocument/2006/relationships/hyperlink" Target="https://shopview.testrail.io/index.php?/runs/view/415" TargetMode="External"/><Relationship Id="rId535" Type="http://schemas.openxmlformats.org/officeDocument/2006/relationships/hyperlink" Target="https://shopview.testrail.io/index.php?/cases/view/44898" TargetMode="External"/><Relationship Id="rId536" Type="http://schemas.openxmlformats.org/officeDocument/2006/relationships/hyperlink" Target="https://shopview.testrail.io/index.php?/runs/view/415" TargetMode="External"/><Relationship Id="rId537" Type="http://schemas.openxmlformats.org/officeDocument/2006/relationships/hyperlink" Target="https://shopview.testrail.io/index.php?/cases/view/45132" TargetMode="External"/><Relationship Id="rId538" Type="http://schemas.openxmlformats.org/officeDocument/2006/relationships/hyperlink" Target="https://shopview.testrail.io/index.php?/runs/view/415" TargetMode="External"/><Relationship Id="rId539" Type="http://schemas.openxmlformats.org/officeDocument/2006/relationships/hyperlink" Target="https://shopview.testrail.io/index.php?/cases/view/45133" TargetMode="External"/><Relationship Id="rId540" Type="http://schemas.openxmlformats.org/officeDocument/2006/relationships/hyperlink" Target="https://shopview.testrail.io/index.php?/runs/view/415" TargetMode="External"/><Relationship Id="rId541" Type="http://schemas.openxmlformats.org/officeDocument/2006/relationships/hyperlink" Target="https://shopview.testrail.io/index.php?/cases/view/146224" TargetMode="External"/><Relationship Id="rId542" Type="http://schemas.openxmlformats.org/officeDocument/2006/relationships/hyperlink" Target="https://shopview.testrail.io/index.php?/runs/view/415" TargetMode="External"/><Relationship Id="rId543" Type="http://schemas.openxmlformats.org/officeDocument/2006/relationships/hyperlink" Target="https://shopview.testrail.io/index.php?/cases/view/146233" TargetMode="External"/><Relationship Id="rId544" Type="http://schemas.openxmlformats.org/officeDocument/2006/relationships/hyperlink" Target="https://shopview.testrail.io/index.php?/runs/view/415" TargetMode="External"/><Relationship Id="rId545" Type="http://schemas.openxmlformats.org/officeDocument/2006/relationships/hyperlink" Target="https://shopview.testrail.io/index.php?/cases/view/146245" TargetMode="External"/><Relationship Id="rId546" Type="http://schemas.openxmlformats.org/officeDocument/2006/relationships/hyperlink" Target="https://shopview.testrail.io/index.php?/runs/view/415" TargetMode="External"/><Relationship Id="rId547" Type="http://schemas.openxmlformats.org/officeDocument/2006/relationships/hyperlink" Target="https://shopview.testrail.io/index.php?/cases/view/146257" TargetMode="External"/><Relationship Id="rId548" Type="http://schemas.openxmlformats.org/officeDocument/2006/relationships/hyperlink" Target="https://shopview.testrail.io/index.php?/runs/view/415" TargetMode="External"/><Relationship Id="rId549" Type="http://schemas.openxmlformats.org/officeDocument/2006/relationships/hyperlink" Target="https://shopview.testrail.io/index.php?/cases/view/146266" TargetMode="External"/><Relationship Id="rId550" Type="http://schemas.openxmlformats.org/officeDocument/2006/relationships/hyperlink" Target="https://shopview.testrail.io/index.php?/runs/view/415" TargetMode="External"/><Relationship Id="rId551" Type="http://schemas.openxmlformats.org/officeDocument/2006/relationships/hyperlink" Target="https://shopview.testrail.io/index.php?/cases/view/146277" TargetMode="External"/><Relationship Id="rId552" Type="http://schemas.openxmlformats.org/officeDocument/2006/relationships/hyperlink" Target="https://shopview.testrail.io/index.php?/runs/view/415" TargetMode="External"/><Relationship Id="rId553" Type="http://schemas.openxmlformats.org/officeDocument/2006/relationships/hyperlink" Target="https://shopview.testrail.io/index.php?/cases/view/146225" TargetMode="External"/><Relationship Id="rId554" Type="http://schemas.openxmlformats.org/officeDocument/2006/relationships/hyperlink" Target="https://shopview.testrail.io/index.php?/runs/view/415" TargetMode="External"/><Relationship Id="rId555" Type="http://schemas.openxmlformats.org/officeDocument/2006/relationships/hyperlink" Target="https://shopview.testrail.io/index.php?/cases/view/146234" TargetMode="External"/><Relationship Id="rId556" Type="http://schemas.openxmlformats.org/officeDocument/2006/relationships/hyperlink" Target="https://shopview.testrail.io/index.php?/runs/view/415" TargetMode="External"/><Relationship Id="rId557" Type="http://schemas.openxmlformats.org/officeDocument/2006/relationships/hyperlink" Target="https://shopview.testrail.io/index.php?/cases/view/146246" TargetMode="External"/><Relationship Id="rId558" Type="http://schemas.openxmlformats.org/officeDocument/2006/relationships/hyperlink" Target="https://shopview.testrail.io/index.php?/runs/view/415" TargetMode="External"/><Relationship Id="rId559" Type="http://schemas.openxmlformats.org/officeDocument/2006/relationships/hyperlink" Target="https://shopview.testrail.io/index.php?/cases/view/146258" TargetMode="External"/><Relationship Id="rId560" Type="http://schemas.openxmlformats.org/officeDocument/2006/relationships/hyperlink" Target="https://shopview.testrail.io/index.php?/runs/view/415" TargetMode="External"/><Relationship Id="rId561" Type="http://schemas.openxmlformats.org/officeDocument/2006/relationships/hyperlink" Target="https://shopview.testrail.io/index.php?/cases/view/146267" TargetMode="External"/><Relationship Id="rId562" Type="http://schemas.openxmlformats.org/officeDocument/2006/relationships/hyperlink" Target="https://shopview.testrail.io/index.php?/runs/view/415" TargetMode="External"/><Relationship Id="rId563" Type="http://schemas.openxmlformats.org/officeDocument/2006/relationships/hyperlink" Target="https://shopview.testrail.io/index.php?/cases/view/146278" TargetMode="External"/><Relationship Id="rId564" Type="http://schemas.openxmlformats.org/officeDocument/2006/relationships/hyperlink" Target="https://shopview.testrail.io/index.php?/runs/view/415" TargetMode="External"/><Relationship Id="rId565" Type="http://schemas.openxmlformats.org/officeDocument/2006/relationships/hyperlink" Target="https://shopview.testrail.io/index.php?/cases/view/146247" TargetMode="External"/><Relationship Id="rId566" Type="http://schemas.openxmlformats.org/officeDocument/2006/relationships/hyperlink" Target="https://shopview.testrail.io/index.php?/runs/view/415" TargetMode="External"/><Relationship Id="rId567" Type="http://schemas.openxmlformats.org/officeDocument/2006/relationships/hyperlink" Target="https://shopview.testrail.io/index.php?/cases/view/146268" TargetMode="External"/><Relationship Id="rId568" Type="http://schemas.openxmlformats.org/officeDocument/2006/relationships/hyperlink" Target="https://shopview.testrail.io/index.php?/runs/view/415" TargetMode="External"/><Relationship Id="rId569" Type="http://schemas.openxmlformats.org/officeDocument/2006/relationships/hyperlink" Target="https://shopview.testrail.io/index.php?/cases/view/146279" TargetMode="External"/><Relationship Id="rId570" Type="http://schemas.openxmlformats.org/officeDocument/2006/relationships/hyperlink" Target="https://shopview.testrail.io/index.php?/runs/view/415" TargetMode="External"/><Relationship Id="rId571" Type="http://schemas.openxmlformats.org/officeDocument/2006/relationships/hyperlink" Target="https://shopview.testrail.io/index.php?/cases/view/146229" TargetMode="External"/><Relationship Id="rId572" Type="http://schemas.openxmlformats.org/officeDocument/2006/relationships/hyperlink" Target="https://shopview.testrail.io/index.php?/runs/view/415" TargetMode="External"/><Relationship Id="rId573" Type="http://schemas.openxmlformats.org/officeDocument/2006/relationships/hyperlink" Target="https://shopview.testrail.io/index.php?/cases/view/44862" TargetMode="External"/><Relationship Id="rId574" Type="http://schemas.openxmlformats.org/officeDocument/2006/relationships/hyperlink" Target="https://shopview.testrail.io/index.php?/runs/view/415" TargetMode="External"/><Relationship Id="rId575" Type="http://schemas.openxmlformats.org/officeDocument/2006/relationships/hyperlink" Target="https://shopview.testrail.io/index.php?/cases/view/44833" TargetMode="External"/><Relationship Id="rId576" Type="http://schemas.openxmlformats.org/officeDocument/2006/relationships/hyperlink" Target="https://shopview.testrail.io/index.php?/runs/view/415" TargetMode="External"/><Relationship Id="rId577" Type="http://schemas.openxmlformats.org/officeDocument/2006/relationships/hyperlink" Target="https://shopview.testrail.io/index.php?/cases/view/44834" TargetMode="External"/><Relationship Id="rId578" Type="http://schemas.openxmlformats.org/officeDocument/2006/relationships/hyperlink" Target="https://shopview.testrail.io/index.php?/runs/view/415" TargetMode="External"/><Relationship Id="rId579" Type="http://schemas.openxmlformats.org/officeDocument/2006/relationships/hyperlink" Target="https://shopview.testrail.io/index.php?/cases/view/44835" TargetMode="External"/><Relationship Id="rId580" Type="http://schemas.openxmlformats.org/officeDocument/2006/relationships/hyperlink" Target="https://shopview.testrail.io/index.php?/runs/view/415" TargetMode="External"/><Relationship Id="rId581" Type="http://schemas.openxmlformats.org/officeDocument/2006/relationships/hyperlink" Target="https://shopview.testrail.io/index.php?/cases/view/44836" TargetMode="External"/><Relationship Id="rId582" Type="http://schemas.openxmlformats.org/officeDocument/2006/relationships/hyperlink" Target="https://shopview.testrail.io/index.php?/runs/view/415" TargetMode="External"/><Relationship Id="rId583" Type="http://schemas.openxmlformats.org/officeDocument/2006/relationships/hyperlink" Target="https://shopview.testrail.io/index.php?/cases/view/44845" TargetMode="External"/><Relationship Id="rId584" Type="http://schemas.openxmlformats.org/officeDocument/2006/relationships/hyperlink" Target="https://shopview.testrail.io/index.php?/runs/view/415" TargetMode="External"/><Relationship Id="rId585" Type="http://schemas.openxmlformats.org/officeDocument/2006/relationships/hyperlink" Target="https://shopview.testrail.io/index.php?/cases/view/44842" TargetMode="External"/><Relationship Id="rId586" Type="http://schemas.openxmlformats.org/officeDocument/2006/relationships/hyperlink" Target="https://shopview.testrail.io/index.php?/runs/view/415" TargetMode="External"/><Relationship Id="rId587" Type="http://schemas.openxmlformats.org/officeDocument/2006/relationships/hyperlink" Target="https://shopview.testrail.io/index.php?/cases/view/96844" TargetMode="External"/><Relationship Id="rId588" Type="http://schemas.openxmlformats.org/officeDocument/2006/relationships/hyperlink" Target="https://shopview.testrail.io/index.php?/runs/view/415" TargetMode="External"/><Relationship Id="rId589" Type="http://schemas.openxmlformats.org/officeDocument/2006/relationships/hyperlink" Target="https://shopview.testrail.io/index.php?/cases/view/96845" TargetMode="External"/><Relationship Id="rId590" Type="http://schemas.openxmlformats.org/officeDocument/2006/relationships/hyperlink" Target="https://shopview.testrail.io/index.php?/runs/view/415" TargetMode="External"/><Relationship Id="rId591" Type="http://schemas.openxmlformats.org/officeDocument/2006/relationships/hyperlink" Target="https://shopview.testrail.io/index.php?/cases/view/55728" TargetMode="External"/><Relationship Id="rId592" Type="http://schemas.openxmlformats.org/officeDocument/2006/relationships/hyperlink" Target="https://shopview.testrail.io/index.php?/runs/view/415" TargetMode="External"/><Relationship Id="rId593" Type="http://schemas.openxmlformats.org/officeDocument/2006/relationships/hyperlink" Target="https://shopview.testrail.io/index.php?/cases/view/44877" TargetMode="External"/><Relationship Id="rId594" Type="http://schemas.openxmlformats.org/officeDocument/2006/relationships/hyperlink" Target="https://shopview.testrail.io/index.php?/runs/view/415" TargetMode="External"/><Relationship Id="rId595" Type="http://schemas.openxmlformats.org/officeDocument/2006/relationships/hyperlink" Target="https://shopview.testrail.io/index.php?/cases/view/55702" TargetMode="External"/><Relationship Id="rId596" Type="http://schemas.openxmlformats.org/officeDocument/2006/relationships/hyperlink" Target="https://shopview.testrail.io/index.php?/runs/view/415" TargetMode="External"/><Relationship Id="rId597" Type="http://schemas.openxmlformats.org/officeDocument/2006/relationships/hyperlink" Target="https://shopview.testrail.io/index.php?/cases/view/55703" TargetMode="External"/><Relationship Id="rId598" Type="http://schemas.openxmlformats.org/officeDocument/2006/relationships/hyperlink" Target="https://shopview.testrail.io/index.php?/runs/view/415" TargetMode="External"/><Relationship Id="rId599" Type="http://schemas.openxmlformats.org/officeDocument/2006/relationships/hyperlink" Target="https://shopview.testrail.io/index.php?/cases/view/55704" TargetMode="External"/><Relationship Id="rId600" Type="http://schemas.openxmlformats.org/officeDocument/2006/relationships/hyperlink" Target="https://shopview.testrail.io/index.php?/runs/view/415" TargetMode="External"/><Relationship Id="rId601" Type="http://schemas.openxmlformats.org/officeDocument/2006/relationships/hyperlink" Target="https://shopview.testrail.io/index.php?/cases/view/55705" TargetMode="External"/><Relationship Id="rId602" Type="http://schemas.openxmlformats.org/officeDocument/2006/relationships/hyperlink" Target="https://shopview.testrail.io/index.php?/runs/view/415" TargetMode="External"/><Relationship Id="rId603" Type="http://schemas.openxmlformats.org/officeDocument/2006/relationships/hyperlink" Target="https://shopview.testrail.io/index.php?/cases/view/44836" TargetMode="External"/><Relationship Id="rId604" Type="http://schemas.openxmlformats.org/officeDocument/2006/relationships/hyperlink" Target="https://shopview.testrail.io/index.php?/runs/view/415" TargetMode="External"/><Relationship Id="rId605" Type="http://schemas.openxmlformats.org/officeDocument/2006/relationships/hyperlink" Target="https://shopview.testrail.io/index.php?/cases/view/55706" TargetMode="External"/><Relationship Id="rId606" Type="http://schemas.openxmlformats.org/officeDocument/2006/relationships/hyperlink" Target="https://shopview.testrail.io/index.php?/runs/view/415" TargetMode="External"/><Relationship Id="rId607" Type="http://schemas.openxmlformats.org/officeDocument/2006/relationships/hyperlink" Target="https://shopview.testrail.io/index.php?/cases/view/44863" TargetMode="External"/><Relationship Id="rId608" Type="http://schemas.openxmlformats.org/officeDocument/2006/relationships/hyperlink" Target="https://shopview.testrail.io/index.php?/runs/view/415" TargetMode="External"/><Relationship Id="rId609" Type="http://schemas.openxmlformats.org/officeDocument/2006/relationships/hyperlink" Target="https://shopview.testrail.io/index.php?/cases/view/146227" TargetMode="External"/><Relationship Id="rId610" Type="http://schemas.openxmlformats.org/officeDocument/2006/relationships/hyperlink" Target="https://shopview.testrail.io/index.php?/runs/view/415" TargetMode="External"/><Relationship Id="rId611" Type="http://schemas.openxmlformats.org/officeDocument/2006/relationships/hyperlink" Target="https://shopview.testrail.io/index.php?/cases/view/146236" TargetMode="External"/><Relationship Id="rId612" Type="http://schemas.openxmlformats.org/officeDocument/2006/relationships/hyperlink" Target="https://shopview.testrail.io/index.php?/runs/view/415" TargetMode="External"/><Relationship Id="rId613" Type="http://schemas.openxmlformats.org/officeDocument/2006/relationships/hyperlink" Target="https://shopview.testrail.io/index.php?/cases/view/146248" TargetMode="External"/><Relationship Id="rId614" Type="http://schemas.openxmlformats.org/officeDocument/2006/relationships/hyperlink" Target="https://shopview.testrail.io/index.php?/runs/view/415" TargetMode="External"/><Relationship Id="rId615" Type="http://schemas.openxmlformats.org/officeDocument/2006/relationships/hyperlink" Target="https://shopview.testrail.io/index.php?/cases/view/146260" TargetMode="External"/><Relationship Id="rId616" Type="http://schemas.openxmlformats.org/officeDocument/2006/relationships/hyperlink" Target="https://shopview.testrail.io/index.php?/runs/view/415" TargetMode="External"/><Relationship Id="rId617" Type="http://schemas.openxmlformats.org/officeDocument/2006/relationships/hyperlink" Target="https://shopview.testrail.io/index.php?/cases/view/146269" TargetMode="External"/><Relationship Id="rId618" Type="http://schemas.openxmlformats.org/officeDocument/2006/relationships/hyperlink" Target="https://shopview.testrail.io/index.php?/runs/view/415" TargetMode="External"/><Relationship Id="rId619" Type="http://schemas.openxmlformats.org/officeDocument/2006/relationships/hyperlink" Target="https://shopview.testrail.io/index.php?/cases/view/146280" TargetMode="External"/><Relationship Id="rId620" Type="http://schemas.openxmlformats.org/officeDocument/2006/relationships/hyperlink" Target="https://shopview.testrail.io/index.php?/runs/view/415" TargetMode="External"/><Relationship Id="rId621" Type="http://schemas.openxmlformats.org/officeDocument/2006/relationships/hyperlink" Target="https://shopview.testrail.io/index.php?/cases/view/146237" TargetMode="External"/><Relationship Id="rId622" Type="http://schemas.openxmlformats.org/officeDocument/2006/relationships/hyperlink" Target="https://shopview.testrail.io/index.php?/runs/view/415" TargetMode="External"/><Relationship Id="rId623" Type="http://schemas.openxmlformats.org/officeDocument/2006/relationships/hyperlink" Target="https://shopview.testrail.io/index.php?/cases/view/146231" TargetMode="External"/><Relationship Id="rId624" Type="http://schemas.openxmlformats.org/officeDocument/2006/relationships/hyperlink" Target="https://shopview.testrail.io/index.php?/runs/view/415" TargetMode="External"/><Relationship Id="rId625" Type="http://schemas.openxmlformats.org/officeDocument/2006/relationships/hyperlink" Target="https://shopview.testrail.io/index.php?/cases/view/146243" TargetMode="External"/><Relationship Id="rId626" Type="http://schemas.openxmlformats.org/officeDocument/2006/relationships/hyperlink" Target="https://shopview.testrail.io/index.php?/runs/view/415" TargetMode="External"/><Relationship Id="rId627" Type="http://schemas.openxmlformats.org/officeDocument/2006/relationships/hyperlink" Target="https://shopview.testrail.io/index.php?/cases/view/146255" TargetMode="External"/><Relationship Id="rId628" Type="http://schemas.openxmlformats.org/officeDocument/2006/relationships/hyperlink" Target="https://shopview.testrail.io/index.php?/runs/view/415" TargetMode="External"/><Relationship Id="rId629" Type="http://schemas.openxmlformats.org/officeDocument/2006/relationships/hyperlink" Target="https://shopview.testrail.io/index.php?/cases/view/146283" TargetMode="External"/><Relationship Id="rId630" Type="http://schemas.openxmlformats.org/officeDocument/2006/relationships/hyperlink" Target="https://shopview.testrail.io/index.php?/runs/view/415" TargetMode="External"/><Relationship Id="rId631" Type="http://schemas.openxmlformats.org/officeDocument/2006/relationships/hyperlink" Target="https://shopview.testrail.io/index.php?/cases/view/44876" TargetMode="External"/><Relationship Id="rId632" Type="http://schemas.openxmlformats.org/officeDocument/2006/relationships/hyperlink" Target="https://shopview.testrail.io/index.php?/runs/view/415" TargetMode="External"/><Relationship Id="rId633" Type="http://schemas.openxmlformats.org/officeDocument/2006/relationships/hyperlink" Target="https://shopview.testrail.io/index.php?/cases/view/45158" TargetMode="External"/><Relationship Id="rId634" Type="http://schemas.openxmlformats.org/officeDocument/2006/relationships/hyperlink" Target="https://shopview.testrail.io/index.php?/runs/view/415" TargetMode="External"/><Relationship Id="rId635" Type="http://schemas.openxmlformats.org/officeDocument/2006/relationships/hyperlink" Target="https://shopview.testrail.io/index.php?/cases/view/44897" TargetMode="External"/><Relationship Id="rId636" Type="http://schemas.openxmlformats.org/officeDocument/2006/relationships/hyperlink" Target="https://shopview.testrail.io/index.php?/runs/view/415" TargetMode="External"/><Relationship Id="rId637" Type="http://schemas.openxmlformats.org/officeDocument/2006/relationships/hyperlink" Target="https://shopview.testrail.io/index.php?/cases/view/44829" TargetMode="External"/><Relationship Id="rId638" Type="http://schemas.openxmlformats.org/officeDocument/2006/relationships/hyperlink" Target="https://shopview.testrail.io/index.php?/runs/view/415" TargetMode="External"/><Relationship Id="rId639" Type="http://schemas.openxmlformats.org/officeDocument/2006/relationships/hyperlink" Target="https://shopview.testrail.io/index.php?/cases/view/44816" TargetMode="External"/><Relationship Id="rId640" Type="http://schemas.openxmlformats.org/officeDocument/2006/relationships/hyperlink" Target="https://shopview.testrail.io/index.php?/runs/view/415" TargetMode="External"/><Relationship Id="rId641" Type="http://schemas.openxmlformats.org/officeDocument/2006/relationships/hyperlink" Target="https://shopview.testrail.io/index.php?/cases/view/45130" TargetMode="External"/><Relationship Id="rId642" Type="http://schemas.openxmlformats.org/officeDocument/2006/relationships/hyperlink" Target="https://shopview.testrail.io/index.php?/runs/view/415" TargetMode="External"/><Relationship Id="rId643" Type="http://schemas.openxmlformats.org/officeDocument/2006/relationships/hyperlink" Target="https://shopview.testrail.io/index.php?/cases/view/44843" TargetMode="External"/><Relationship Id="rId644" Type="http://schemas.openxmlformats.org/officeDocument/2006/relationships/hyperlink" Target="https://shopview.testrail.io/index.php?/runs/view/415" TargetMode="External"/><Relationship Id="rId645" Type="http://schemas.openxmlformats.org/officeDocument/2006/relationships/hyperlink" Target="https://shopview.testrail.io/index.php?/cases/view/53579" TargetMode="External"/><Relationship Id="rId646" Type="http://schemas.openxmlformats.org/officeDocument/2006/relationships/hyperlink" Target="https://shopview.testrail.io/index.php?/runs/view/415" TargetMode="External"/><Relationship Id="rId647" Type="http://schemas.openxmlformats.org/officeDocument/2006/relationships/hyperlink" Target="https://shopview.testrail.io/index.php?/cases/view/55672" TargetMode="External"/><Relationship Id="rId648" Type="http://schemas.openxmlformats.org/officeDocument/2006/relationships/hyperlink" Target="https://shopview.testrail.io/index.php?/runs/view/415" TargetMode="External"/><Relationship Id="rId649" Type="http://schemas.openxmlformats.org/officeDocument/2006/relationships/hyperlink" Target="https://shopview.testrail.io/index.php?/cases/view/55714" TargetMode="External"/><Relationship Id="rId650" Type="http://schemas.openxmlformats.org/officeDocument/2006/relationships/hyperlink" Target="https://shopview.testrail.io/index.php?/runs/view/415" TargetMode="External"/><Relationship Id="rId651" Type="http://schemas.openxmlformats.org/officeDocument/2006/relationships/hyperlink" Target="https://shopview.testrail.io/index.php?/cases/view/44831" TargetMode="External"/><Relationship Id="rId652" Type="http://schemas.openxmlformats.org/officeDocument/2006/relationships/hyperlink" Target="https://shopview.testrail.io/index.php?/runs/view/415" TargetMode="External"/><Relationship Id="rId653" Type="http://schemas.openxmlformats.org/officeDocument/2006/relationships/hyperlink" Target="https://shopview.testrail.io/index.php?/cases/view/44832" TargetMode="External"/><Relationship Id="rId654" Type="http://schemas.openxmlformats.org/officeDocument/2006/relationships/hyperlink" Target="https://shopview.testrail.io/index.php?/runs/view/415" TargetMode="External"/><Relationship Id="rId655" Type="http://schemas.openxmlformats.org/officeDocument/2006/relationships/hyperlink" Target="https://shopview.testrail.io/index.php?/cases/view/146275" TargetMode="External"/><Relationship Id="rId656" Type="http://schemas.openxmlformats.org/officeDocument/2006/relationships/hyperlink" Target="https://shopview.testrail.io/index.php?/runs/view/415" TargetMode="External"/><Relationship Id="rId657" Type="http://schemas.openxmlformats.org/officeDocument/2006/relationships/hyperlink" Target="https://shopview.testrail.io/index.php?/cases/view/44855" TargetMode="External"/><Relationship Id="rId658" Type="http://schemas.openxmlformats.org/officeDocument/2006/relationships/hyperlink" Target="https://shopview.testrail.io/index.php?/runs/view/415" TargetMode="External"/><Relationship Id="rId659" Type="http://schemas.openxmlformats.org/officeDocument/2006/relationships/hyperlink" Target="https://shopview.testrail.io/index.php?/cases/view/44856" TargetMode="External"/><Relationship Id="rId660" Type="http://schemas.openxmlformats.org/officeDocument/2006/relationships/hyperlink" Target="https://shopview.testrail.io/index.php?/runs/view/415" TargetMode="External"/><Relationship Id="rId661" Type="http://schemas.openxmlformats.org/officeDocument/2006/relationships/hyperlink" Target="https://shopview.testrail.io/index.php?/cases/view/44817" TargetMode="External"/><Relationship Id="rId662" Type="http://schemas.openxmlformats.org/officeDocument/2006/relationships/hyperlink" Target="https://shopview.testrail.io/index.php?/runs/view/415" TargetMode="External"/><Relationship Id="rId663" Type="http://schemas.openxmlformats.org/officeDocument/2006/relationships/hyperlink" Target="https://shopview.testrail.io/index.php?/cases/view/44818" TargetMode="External"/><Relationship Id="rId664" Type="http://schemas.openxmlformats.org/officeDocument/2006/relationships/hyperlink" Target="https://shopview.testrail.io/index.php?/runs/view/415" TargetMode="External"/><Relationship Id="rId665" Type="http://schemas.openxmlformats.org/officeDocument/2006/relationships/hyperlink" Target="https://shopview.testrail.io/index.php?/cases/view/44819" TargetMode="External"/><Relationship Id="rId666" Type="http://schemas.openxmlformats.org/officeDocument/2006/relationships/hyperlink" Target="https://shopview.testrail.io/index.php?/runs/view/415" TargetMode="External"/><Relationship Id="rId667" Type="http://schemas.openxmlformats.org/officeDocument/2006/relationships/hyperlink" Target="https://shopview.testrail.io/index.php?/cases/view/44820" TargetMode="External"/><Relationship Id="rId668" Type="http://schemas.openxmlformats.org/officeDocument/2006/relationships/hyperlink" Target="https://shopview.testrail.io/index.php?/runs/view/415" TargetMode="External"/><Relationship Id="rId669" Type="http://schemas.openxmlformats.org/officeDocument/2006/relationships/hyperlink" Target="https://shopview.testrail.io/index.php?/cases/view/44821" TargetMode="External"/><Relationship Id="rId670" Type="http://schemas.openxmlformats.org/officeDocument/2006/relationships/hyperlink" Target="https://shopview.testrail.io/index.php?/runs/view/415" TargetMode="External"/><Relationship Id="rId671" Type="http://schemas.openxmlformats.org/officeDocument/2006/relationships/hyperlink" Target="https://shopview.testrail.io/index.php?/cases/view/45131" TargetMode="External"/><Relationship Id="rId672" Type="http://schemas.openxmlformats.org/officeDocument/2006/relationships/hyperlink" Target="https://shopview.testrail.io/index.php?/runs/view/415" TargetMode="External"/><Relationship Id="rId673" Type="http://schemas.openxmlformats.org/officeDocument/2006/relationships/hyperlink" Target="https://shopview.testrail.io/index.php?/cases/view/44815" TargetMode="External"/><Relationship Id="rId674" Type="http://schemas.openxmlformats.org/officeDocument/2006/relationships/hyperlink" Target="https://shopview.testrail.io/index.php?/runs/view/415" TargetMode="External"/><Relationship Id="rId675" Type="http://schemas.openxmlformats.org/officeDocument/2006/relationships/hyperlink" Target="https://shopview.testrail.io/index.php?/cases/view/44822" TargetMode="External"/><Relationship Id="rId676" Type="http://schemas.openxmlformats.org/officeDocument/2006/relationships/hyperlink" Target="https://shopview.testrail.io/index.php?/runs/view/415" TargetMode="External"/><Relationship Id="rId677" Type="http://schemas.openxmlformats.org/officeDocument/2006/relationships/hyperlink" Target="https://shopview.testrail.io/index.php?/cases/view/44823" TargetMode="External"/><Relationship Id="rId678" Type="http://schemas.openxmlformats.org/officeDocument/2006/relationships/hyperlink" Target="https://shopview.testrail.io/index.php?/runs/view/415" TargetMode="External"/><Relationship Id="rId679" Type="http://schemas.openxmlformats.org/officeDocument/2006/relationships/hyperlink" Target="https://shopview.testrail.io/index.php?/cases/view/44824" TargetMode="External"/><Relationship Id="rId680" Type="http://schemas.openxmlformats.org/officeDocument/2006/relationships/hyperlink" Target="https://shopview.testrail.io/index.php?/runs/view/415" TargetMode="External"/><Relationship Id="rId681" Type="http://schemas.openxmlformats.org/officeDocument/2006/relationships/hyperlink" Target="https://shopview.testrail.io/index.php?/cases/view/44825" TargetMode="External"/><Relationship Id="rId682" Type="http://schemas.openxmlformats.org/officeDocument/2006/relationships/hyperlink" Target="https://shopview.testrail.io/index.php?/runs/view/415" TargetMode="External"/><Relationship Id="rId683" Type="http://schemas.openxmlformats.org/officeDocument/2006/relationships/hyperlink" Target="https://shopview.testrail.io/index.php?/cases/view/44826" TargetMode="External"/><Relationship Id="rId684" Type="http://schemas.openxmlformats.org/officeDocument/2006/relationships/hyperlink" Target="https://shopview.testrail.io/index.php?/runs/view/415" TargetMode="External"/><Relationship Id="rId685" Type="http://schemas.openxmlformats.org/officeDocument/2006/relationships/hyperlink" Target="https://shopview.testrail.io/index.php?/cases/view/45129" TargetMode="External"/><Relationship Id="rId686" Type="http://schemas.openxmlformats.org/officeDocument/2006/relationships/hyperlink" Target="https://shopview.testrail.io/index.php?/runs/view/415" TargetMode="External"/><Relationship Id="rId687" Type="http://schemas.openxmlformats.org/officeDocument/2006/relationships/hyperlink" Target="https://shopview.testrail.io/index.php?/cases/view/44895" TargetMode="External"/><Relationship Id="rId688" Type="http://schemas.openxmlformats.org/officeDocument/2006/relationships/hyperlink" Target="https://shopview.testrail.io/index.php?/runs/view/415" TargetMode="External"/><Relationship Id="rId689" Type="http://schemas.openxmlformats.org/officeDocument/2006/relationships/hyperlink" Target="https://shopview.testrail.io/index.php?/cases/view/44810" TargetMode="External"/><Relationship Id="rId690" Type="http://schemas.openxmlformats.org/officeDocument/2006/relationships/hyperlink" Target="https://shopview.testrail.io/index.php?/runs/view/415" TargetMode="External"/><Relationship Id="rId691" Type="http://schemas.openxmlformats.org/officeDocument/2006/relationships/hyperlink" Target="https://shopview.testrail.io/index.php?/cases/view/44811" TargetMode="External"/><Relationship Id="rId692" Type="http://schemas.openxmlformats.org/officeDocument/2006/relationships/hyperlink" Target="https://shopview.testrail.io/index.php?/runs/view/415" TargetMode="External"/><Relationship Id="rId69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shopview.testrail.io/index.php?/cases/view/146216"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33"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35"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27"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28"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45137"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44828" TargetMode="External"/><Relationship Id="rId14" Type="http://schemas.openxmlformats.org/officeDocument/2006/relationships/hyperlink" Target="https://shopview.testrail.io/index.php?/runs/view/415" TargetMode="External"/><Relationship Id="rId1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shopview.testrail.io/index.php?/cases/view/146205"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atlassian.net/browse/SV-10634" TargetMode="External"/><Relationship Id="rId4" Type="http://schemas.openxmlformats.org/officeDocument/2006/relationships/hyperlink" Target="https://shopview.testrail.io/index.php?/cases/view/146206" TargetMode="External"/><Relationship Id="rId5" Type="http://schemas.openxmlformats.org/officeDocument/2006/relationships/hyperlink" Target="https://shopview.testrail.io/index.php?/runs/view/415" TargetMode="External"/><Relationship Id="rId6" Type="http://schemas.openxmlformats.org/officeDocument/2006/relationships/hyperlink" Target="https://shopview.atlassian.net/browse/SV-10634" TargetMode="External"/><Relationship Id="rId7" Type="http://schemas.openxmlformats.org/officeDocument/2006/relationships/hyperlink" Target="https://shopview.testrail.io/index.php?/cases/view/146238"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atlassian.net/browse/SV-10634" TargetMode="External"/><Relationship Id="rId10" Type="http://schemas.openxmlformats.org/officeDocument/2006/relationships/hyperlink" Target="https://shopview.testrail.io/index.php?/cases/view/146242" TargetMode="External"/><Relationship Id="rId11" Type="http://schemas.openxmlformats.org/officeDocument/2006/relationships/hyperlink" Target="https://shopview.testrail.io/index.php?/runs/view/415" TargetMode="External"/><Relationship Id="rId12" Type="http://schemas.openxmlformats.org/officeDocument/2006/relationships/hyperlink" Target="https://shopview.atlassian.net/browse/SV-10634" TargetMode="External"/><Relationship Id="rId13" Type="http://schemas.openxmlformats.org/officeDocument/2006/relationships/hyperlink" Target="https://shopview.testrail.io/index.php?/cases/view/146252"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atlassian.net/browse/SV-10634" TargetMode="External"/><Relationship Id="rId16" Type="http://schemas.openxmlformats.org/officeDocument/2006/relationships/hyperlink" Target="https://shopview.testrail.io/index.php?/cases/view/146271" TargetMode="External"/><Relationship Id="rId17" Type="http://schemas.openxmlformats.org/officeDocument/2006/relationships/hyperlink" Target="https://shopview.testrail.io/index.php?/runs/view/415" TargetMode="External"/><Relationship Id="rId18" Type="http://schemas.openxmlformats.org/officeDocument/2006/relationships/hyperlink" Target="https://shopview.atlassian.net/browse/SV-10634" TargetMode="External"/><Relationship Id="rId19" Type="http://schemas.openxmlformats.org/officeDocument/2006/relationships/hyperlink" Target="https://shopview.testrail.io/index.php?/cases/view/146272"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atlassian.net/browse/SV-10634" TargetMode="External"/><Relationship Id="rId22" Type="http://schemas.openxmlformats.org/officeDocument/2006/relationships/hyperlink" Target="https://shopview.testrail.io/index.php?/cases/view/146209" TargetMode="External"/><Relationship Id="rId23" Type="http://schemas.openxmlformats.org/officeDocument/2006/relationships/hyperlink" Target="https://shopview.testrail.io/index.php?/runs/view/415" TargetMode="External"/><Relationship Id="rId24" Type="http://schemas.openxmlformats.org/officeDocument/2006/relationships/hyperlink" Target="https://shopview.atlassian.net/browse/SV-10634" TargetMode="External"/><Relationship Id="rId25" Type="http://schemas.openxmlformats.org/officeDocument/2006/relationships/hyperlink" Target="https://shopview.testrail.io/index.php?/cases/view/146222"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atlassian.net/browse/SV-10635" TargetMode="External"/><Relationship Id="rId28"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shopview.testrail.io/index.php?/cases/view/146245"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66"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47"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68"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306"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44809"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45144"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45146"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45147"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45143"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45151"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55716"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atlassian.net/browse/SV-10340" TargetMode="External"/><Relationship Id="rId26" Type="http://schemas.openxmlformats.org/officeDocument/2006/relationships/hyperlink" Target="https://shopview.testrail.io/index.php?/cases/view/55724" TargetMode="External"/><Relationship Id="rId27" Type="http://schemas.openxmlformats.org/officeDocument/2006/relationships/hyperlink" Target="https://shopview.testrail.io/index.php?/runs/view/415" TargetMode="External"/><Relationship Id="rId28" Type="http://schemas.openxmlformats.org/officeDocument/2006/relationships/hyperlink" Target="https://shopview.testrail.io/index.php?/cases/view/55723" TargetMode="External"/><Relationship Id="rId29" Type="http://schemas.openxmlformats.org/officeDocument/2006/relationships/hyperlink" Target="https://shopview.testrail.io/index.php?/runs/view/415" TargetMode="External"/><Relationship Id="rId30" Type="http://schemas.openxmlformats.org/officeDocument/2006/relationships/hyperlink" Target="https://shopview.testrail.io/index.php?/cases/view/45139" TargetMode="External"/><Relationship Id="rId31" Type="http://schemas.openxmlformats.org/officeDocument/2006/relationships/hyperlink" Target="https://shopview.testrail.io/index.php?/runs/view/415" TargetMode="External"/><Relationship Id="rId32" Type="http://schemas.openxmlformats.org/officeDocument/2006/relationships/hyperlink" Target="https://shopview.testrail.io/index.php?/cases/view/53586" TargetMode="External"/><Relationship Id="rId33" Type="http://schemas.openxmlformats.org/officeDocument/2006/relationships/hyperlink" Target="https://shopview.testrail.io/index.php?/runs/view/415" TargetMode="External"/><Relationship Id="rId34" Type="http://schemas.openxmlformats.org/officeDocument/2006/relationships/hyperlink" Target="https://shopview.testrail.io/index.php?/cases/view/53587" TargetMode="External"/><Relationship Id="rId35" Type="http://schemas.openxmlformats.org/officeDocument/2006/relationships/hyperlink" Target="https://shopview.testrail.io/index.php?/runs/view/415" TargetMode="External"/><Relationship Id="rId36" Type="http://schemas.openxmlformats.org/officeDocument/2006/relationships/hyperlink" Target="https://shopview.testrail.io/index.php?/cases/view/55712" TargetMode="External"/><Relationship Id="rId37" Type="http://schemas.openxmlformats.org/officeDocument/2006/relationships/hyperlink" Target="https://shopview.testrail.io/index.php?/runs/view/415" TargetMode="External"/><Relationship Id="rId38"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shopview.testrail.io/index.php?/cases/view/146202"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14"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15"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17"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18"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29"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30"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39"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146240"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146251"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146262"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146263"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146273"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146274"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146282"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53476"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atlassian.net/browse/SV-10320" TargetMode="External"/><Relationship Id="rId34" Type="http://schemas.openxmlformats.org/officeDocument/2006/relationships/hyperlink" Target="https://shopview.testrail.io/index.php?/cases/view/55716" TargetMode="External"/><Relationship Id="rId35" Type="http://schemas.openxmlformats.org/officeDocument/2006/relationships/hyperlink" Target="https://shopview.testrail.io/index.php?/runs/view/415" TargetMode="External"/><Relationship Id="rId36" Type="http://schemas.openxmlformats.org/officeDocument/2006/relationships/hyperlink" Target="https://shopview.atlassian.net/browse/SV-10340" TargetMode="External"/><Relationship Id="rId37" Type="http://schemas.openxmlformats.org/officeDocument/2006/relationships/hyperlink" Target="https://shopview.testrail.io/index.php?/cases/view/53601"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atlassian.net/browse/SV-10001" TargetMode="External"/><Relationship Id="rId40" Type="http://schemas.openxmlformats.org/officeDocument/2006/relationships/hyperlink" Target="https://shopview.testrail.io/index.php?/cases/view/53605" TargetMode="External"/><Relationship Id="rId41" Type="http://schemas.openxmlformats.org/officeDocument/2006/relationships/hyperlink" Target="https://shopview.testrail.io/index.php?/runs/view/415" TargetMode="External"/><Relationship Id="rId42" Type="http://schemas.openxmlformats.org/officeDocument/2006/relationships/hyperlink" Target="https://shopview.atlassian.net/browse/SV-10055" TargetMode="External"/><Relationship Id="rId43" Type="http://schemas.openxmlformats.org/officeDocument/2006/relationships/hyperlink" Target="https://shopview.testrail.io/index.php?/cases/view/55660"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atlassian.net/browse/SV-10060" TargetMode="External"/><Relationship Id="rId46" Type="http://schemas.openxmlformats.org/officeDocument/2006/relationships/hyperlink" Target="https://shopview.testrail.io/index.php?/cases/view/55685" TargetMode="External"/><Relationship Id="rId47" Type="http://schemas.openxmlformats.org/officeDocument/2006/relationships/hyperlink" Target="https://shopview.testrail.io/index.php?/runs/view/415" TargetMode="External"/><Relationship Id="rId48" Type="http://schemas.openxmlformats.org/officeDocument/2006/relationships/hyperlink" Target="https://shopview.atlassian.net/browse/SV-10025" TargetMode="External"/><Relationship Id="rId49"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shopview.testrail.io/index.php?/cases/view/146286"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atlassian.net/browse/SV-10320" TargetMode="External"/><Relationship Id="rId4"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shopview.testrail.io/index.php?/cases/view/146208"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23"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32"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44"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56"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65"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76"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84"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146291"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45138"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44839"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44840"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44841"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55727"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53585"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53604"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testrail.io/index.php?/cases/view/44837" TargetMode="External"/><Relationship Id="rId34" Type="http://schemas.openxmlformats.org/officeDocument/2006/relationships/hyperlink" Target="https://shopview.testrail.io/index.php?/runs/view/415" TargetMode="External"/><Relationship Id="rId35" Type="http://schemas.openxmlformats.org/officeDocument/2006/relationships/hyperlink" Target="https://shopview.testrail.io/index.php?/cases/view/146220" TargetMode="External"/><Relationship Id="rId36" Type="http://schemas.openxmlformats.org/officeDocument/2006/relationships/hyperlink" Target="https://shopview.testrail.io/index.php?/runs/view/415" TargetMode="External"/><Relationship Id="rId37" Type="http://schemas.openxmlformats.org/officeDocument/2006/relationships/hyperlink" Target="https://shopview.testrail.io/index.php?/cases/view/44848"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testrail.io/index.php?/cases/view/53516" TargetMode="External"/><Relationship Id="rId40" Type="http://schemas.openxmlformats.org/officeDocument/2006/relationships/hyperlink" Target="https://shopview.testrail.io/index.php?/runs/view/415" TargetMode="External"/><Relationship Id="rId41" Type="http://schemas.openxmlformats.org/officeDocument/2006/relationships/hyperlink" Target="https://shopview.testrail.io/index.php?/cases/view/53583" TargetMode="External"/><Relationship Id="rId42" Type="http://schemas.openxmlformats.org/officeDocument/2006/relationships/hyperlink" Target="https://shopview.testrail.io/index.php?/runs/view/415" TargetMode="External"/><Relationship Id="rId43" Type="http://schemas.openxmlformats.org/officeDocument/2006/relationships/hyperlink" Target="https://shopview.testrail.io/index.php?/cases/view/53584"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testrail.io/index.php?/cases/view/53602" TargetMode="External"/><Relationship Id="rId46" Type="http://schemas.openxmlformats.org/officeDocument/2006/relationships/hyperlink" Target="https://shopview.testrail.io/index.php?/runs/view/415" TargetMode="External"/><Relationship Id="rId47" Type="http://schemas.openxmlformats.org/officeDocument/2006/relationships/hyperlink" Target="https://shopview.testrail.io/index.php?/cases/view/53603" TargetMode="External"/><Relationship Id="rId48" Type="http://schemas.openxmlformats.org/officeDocument/2006/relationships/hyperlink" Target="https://shopview.testrail.io/index.php?/runs/view/415" TargetMode="External"/><Relationship Id="rId49" Type="http://schemas.openxmlformats.org/officeDocument/2006/relationships/hyperlink" Target="https://shopview.testrail.io/index.php?/cases/view/53606" TargetMode="External"/><Relationship Id="rId50" Type="http://schemas.openxmlformats.org/officeDocument/2006/relationships/hyperlink" Target="https://shopview.testrail.io/index.php?/runs/view/415" TargetMode="External"/><Relationship Id="rId51" Type="http://schemas.openxmlformats.org/officeDocument/2006/relationships/hyperlink" Target="https://shopview.testrail.io/index.php?/cases/view/55662" TargetMode="External"/><Relationship Id="rId52" Type="http://schemas.openxmlformats.org/officeDocument/2006/relationships/hyperlink" Target="https://shopview.testrail.io/index.php?/runs/view/415" TargetMode="External"/><Relationship Id="rId53" Type="http://schemas.openxmlformats.org/officeDocument/2006/relationships/hyperlink" Target="https://shopview.testrail.io/index.php?/cases/view/55664" TargetMode="External"/><Relationship Id="rId54" Type="http://schemas.openxmlformats.org/officeDocument/2006/relationships/hyperlink" Target="https://shopview.testrail.io/index.php?/runs/view/415" TargetMode="External"/><Relationship Id="rId55" Type="http://schemas.openxmlformats.org/officeDocument/2006/relationships/hyperlink" Target="https://shopview.testrail.io/index.php?/cases/view/55669" TargetMode="External"/><Relationship Id="rId56" Type="http://schemas.openxmlformats.org/officeDocument/2006/relationships/hyperlink" Target="https://shopview.testrail.io/index.php?/runs/view/415" TargetMode="External"/><Relationship Id="rId57" Type="http://schemas.openxmlformats.org/officeDocument/2006/relationships/hyperlink" Target="https://shopview.testrail.io/index.php?/cases/view/55670" TargetMode="External"/><Relationship Id="rId58" Type="http://schemas.openxmlformats.org/officeDocument/2006/relationships/hyperlink" Target="https://shopview.testrail.io/index.php?/runs/view/415" TargetMode="External"/><Relationship Id="rId59" Type="http://schemas.openxmlformats.org/officeDocument/2006/relationships/hyperlink" Target="https://shopview.testrail.io/index.php?/cases/view/44879" TargetMode="External"/><Relationship Id="rId60" Type="http://schemas.openxmlformats.org/officeDocument/2006/relationships/hyperlink" Target="https://shopview.testrail.io/index.php?/runs/view/415" TargetMode="External"/><Relationship Id="rId61" Type="http://schemas.openxmlformats.org/officeDocument/2006/relationships/hyperlink" Target="https://shopview.testrail.io/index.php?/cases/view/55732" TargetMode="External"/><Relationship Id="rId62" Type="http://schemas.openxmlformats.org/officeDocument/2006/relationships/hyperlink" Target="https://shopview.testrail.io/index.php?/runs/view/415" TargetMode="External"/><Relationship Id="rId63" Type="http://schemas.openxmlformats.org/officeDocument/2006/relationships/hyperlink" Target="https://shopview.testrail.io/index.php?/cases/view/55733" TargetMode="External"/><Relationship Id="rId64" Type="http://schemas.openxmlformats.org/officeDocument/2006/relationships/hyperlink" Target="https://shopview.testrail.io/index.php?/runs/view/415" TargetMode="External"/><Relationship Id="rId65" Type="http://schemas.openxmlformats.org/officeDocument/2006/relationships/hyperlink" Target="https://shopview.testrail.io/index.php?/cases/view/44882" TargetMode="External"/><Relationship Id="rId66" Type="http://schemas.openxmlformats.org/officeDocument/2006/relationships/hyperlink" Target="https://shopview.testrail.io/index.php?/runs/view/415" TargetMode="External"/><Relationship Id="rId67" Type="http://schemas.openxmlformats.org/officeDocument/2006/relationships/hyperlink" Target="https://shopview.testrail.io/index.php?/cases/view/55720"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55737" TargetMode="External"/><Relationship Id="rId70" Type="http://schemas.openxmlformats.org/officeDocument/2006/relationships/hyperlink" Target="https://shopview.testrail.io/index.php?/runs/view/415" TargetMode="External"/><Relationship Id="rId71" Type="http://schemas.openxmlformats.org/officeDocument/2006/relationships/hyperlink" Target="https://shopview.testrail.io/index.php?/cases/view/55719" TargetMode="External"/><Relationship Id="rId72" Type="http://schemas.openxmlformats.org/officeDocument/2006/relationships/hyperlink" Target="https://shopview.testrail.io/index.php?/runs/view/415" TargetMode="External"/><Relationship Id="rId73" Type="http://schemas.openxmlformats.org/officeDocument/2006/relationships/hyperlink" Target="https://shopview.testrail.io/index.php?/cases/view/72120" TargetMode="External"/><Relationship Id="rId74" Type="http://schemas.openxmlformats.org/officeDocument/2006/relationships/hyperlink" Target="https://shopview.testrail.io/index.php?/runs/view/415" TargetMode="External"/><Relationship Id="rId75" Type="http://schemas.openxmlformats.org/officeDocument/2006/relationships/hyperlink" Target="https://shopview.testrail.io/index.php?/cases/view/72121" TargetMode="External"/><Relationship Id="rId76" Type="http://schemas.openxmlformats.org/officeDocument/2006/relationships/hyperlink" Target="https://shopview.testrail.io/index.php?/runs/view/415" TargetMode="External"/><Relationship Id="rId77" Type="http://schemas.openxmlformats.org/officeDocument/2006/relationships/hyperlink" Target="https://shopview.testrail.io/index.php?/cases/view/72122" TargetMode="External"/><Relationship Id="rId78" Type="http://schemas.openxmlformats.org/officeDocument/2006/relationships/hyperlink" Target="https://shopview.testrail.io/index.php?/runs/view/415" TargetMode="External"/><Relationship Id="rId79" Type="http://schemas.openxmlformats.org/officeDocument/2006/relationships/hyperlink" Target="https://shopview.testrail.io/index.php?/cases/view/55707" TargetMode="External"/><Relationship Id="rId80" Type="http://schemas.openxmlformats.org/officeDocument/2006/relationships/hyperlink" Target="https://shopview.testrail.io/index.php?/runs/view/415" TargetMode="External"/><Relationship Id="rId81" Type="http://schemas.openxmlformats.org/officeDocument/2006/relationships/hyperlink" Target="https://shopview.testrail.io/index.php?/cases/view/55724" TargetMode="External"/><Relationship Id="rId82" Type="http://schemas.openxmlformats.org/officeDocument/2006/relationships/hyperlink" Target="https://shopview.testrail.io/index.php?/runs/view/415" TargetMode="External"/><Relationship Id="rId83" Type="http://schemas.openxmlformats.org/officeDocument/2006/relationships/hyperlink" Target="https://shopview.testrail.io/index.php?/cases/view/44851" TargetMode="External"/><Relationship Id="rId84" Type="http://schemas.openxmlformats.org/officeDocument/2006/relationships/hyperlink" Target="https://shopview.testrail.io/index.php?/runs/view/415" TargetMode="External"/><Relationship Id="rId85" Type="http://schemas.openxmlformats.org/officeDocument/2006/relationships/hyperlink" Target="https://shopview.testrail.io/index.php?/cases/view/55711" TargetMode="External"/><Relationship Id="rId86" Type="http://schemas.openxmlformats.org/officeDocument/2006/relationships/hyperlink" Target="https://shopview.testrail.io/index.php?/runs/view/415" TargetMode="External"/><Relationship Id="rId87" Type="http://schemas.openxmlformats.org/officeDocument/2006/relationships/hyperlink" Target="https://shopview.testrail.io/index.php?/cases/view/45150" TargetMode="External"/><Relationship Id="rId88" Type="http://schemas.openxmlformats.org/officeDocument/2006/relationships/hyperlink" Target="https://shopview.testrail.io/index.php?/runs/view/415" TargetMode="External"/><Relationship Id="rId89" Type="http://schemas.openxmlformats.org/officeDocument/2006/relationships/hyperlink" Target="https://shopview.testrail.io/index.php?/cases/view/146205" TargetMode="External"/><Relationship Id="rId90" Type="http://schemas.openxmlformats.org/officeDocument/2006/relationships/hyperlink" Target="https://shopview.testrail.io/index.php?/runs/view/415" TargetMode="External"/><Relationship Id="rId91" Type="http://schemas.openxmlformats.org/officeDocument/2006/relationships/hyperlink" Target="https://shopview.testrail.io/index.php?/cases/view/44874" TargetMode="External"/><Relationship Id="rId92" Type="http://schemas.openxmlformats.org/officeDocument/2006/relationships/hyperlink" Target="https://shopview.testrail.io/index.php?/runs/view/415" TargetMode="External"/><Relationship Id="rId93" Type="http://schemas.openxmlformats.org/officeDocument/2006/relationships/hyperlink" Target="https://shopview.testrail.io/index.php?/cases/view/44875" TargetMode="External"/><Relationship Id="rId94" Type="http://schemas.openxmlformats.org/officeDocument/2006/relationships/hyperlink" Target="https://shopview.testrail.io/index.php?/runs/view/415" TargetMode="External"/><Relationship Id="rId95" Type="http://schemas.openxmlformats.org/officeDocument/2006/relationships/hyperlink" Target="https://shopview.testrail.io/index.php?/cases/view/146263" TargetMode="External"/><Relationship Id="rId96" Type="http://schemas.openxmlformats.org/officeDocument/2006/relationships/hyperlink" Target="https://shopview.testrail.io/index.php?/runs/view/415" TargetMode="External"/><Relationship Id="rId97" Type="http://schemas.openxmlformats.org/officeDocument/2006/relationships/hyperlink" Target="https://shopview.testrail.io/index.php?/cases/view/146271" TargetMode="External"/><Relationship Id="rId98" Type="http://schemas.openxmlformats.org/officeDocument/2006/relationships/hyperlink" Target="https://shopview.testrail.io/index.php?/runs/view/415" TargetMode="External"/><Relationship Id="rId99" Type="http://schemas.openxmlformats.org/officeDocument/2006/relationships/hyperlink" Target="https://shopview.testrail.io/index.php?/cases/view/55726" TargetMode="External"/><Relationship Id="rId100" Type="http://schemas.openxmlformats.org/officeDocument/2006/relationships/hyperlink" Target="https://shopview.testrail.io/index.php?/runs/view/415" TargetMode="External"/><Relationship Id="rId101" Type="http://schemas.openxmlformats.org/officeDocument/2006/relationships/hyperlink" Target="https://shopview.testrail.io/index.php?/cases/view/55730" TargetMode="External"/><Relationship Id="rId102" Type="http://schemas.openxmlformats.org/officeDocument/2006/relationships/hyperlink" Target="https://shopview.testrail.io/index.php?/runs/view/415" TargetMode="External"/><Relationship Id="rId103" Type="http://schemas.openxmlformats.org/officeDocument/2006/relationships/hyperlink" Target="https://shopview.testrail.io/index.php?/cases/view/44880" TargetMode="External"/><Relationship Id="rId104" Type="http://schemas.openxmlformats.org/officeDocument/2006/relationships/hyperlink" Target="https://shopview.testrail.io/index.php?/runs/view/415" TargetMode="External"/><Relationship Id="rId105" Type="http://schemas.openxmlformats.org/officeDocument/2006/relationships/hyperlink" Target="https://shopview.testrail.io/index.php?/cases/view/146228" TargetMode="External"/><Relationship Id="rId106" Type="http://schemas.openxmlformats.org/officeDocument/2006/relationships/hyperlink" Target="https://shopview.testrail.io/index.php?/runs/view/415" TargetMode="External"/><Relationship Id="rId107" Type="http://schemas.openxmlformats.org/officeDocument/2006/relationships/hyperlink" Target="https://shopview.testrail.io/index.php?/cases/view/146249" TargetMode="External"/><Relationship Id="rId108" Type="http://schemas.openxmlformats.org/officeDocument/2006/relationships/hyperlink" Target="https://shopview.testrail.io/index.php?/runs/view/415" TargetMode="External"/><Relationship Id="rId109" Type="http://schemas.openxmlformats.org/officeDocument/2006/relationships/hyperlink" Target="https://shopview.testrail.io/index.php?/cases/view/146261" TargetMode="External"/><Relationship Id="rId110" Type="http://schemas.openxmlformats.org/officeDocument/2006/relationships/hyperlink" Target="https://shopview.testrail.io/index.php?/runs/view/415" TargetMode="External"/><Relationship Id="rId111" Type="http://schemas.openxmlformats.org/officeDocument/2006/relationships/hyperlink" Target="https://shopview.testrail.io/index.php?/cases/view/146270" TargetMode="External"/><Relationship Id="rId112" Type="http://schemas.openxmlformats.org/officeDocument/2006/relationships/hyperlink" Target="https://shopview.testrail.io/index.php?/runs/view/415" TargetMode="External"/><Relationship Id="rId113" Type="http://schemas.openxmlformats.org/officeDocument/2006/relationships/hyperlink" Target="https://shopview.testrail.io/index.php?/cases/view/146281" TargetMode="External"/><Relationship Id="rId114" Type="http://schemas.openxmlformats.org/officeDocument/2006/relationships/hyperlink" Target="https://shopview.testrail.io/index.php?/runs/view/415" TargetMode="External"/><Relationship Id="rId115" Type="http://schemas.openxmlformats.org/officeDocument/2006/relationships/hyperlink" Target="https://shopview.testrail.io/index.php?/cases/view/146238" TargetMode="External"/><Relationship Id="rId116" Type="http://schemas.openxmlformats.org/officeDocument/2006/relationships/hyperlink" Target="https://shopview.testrail.io/index.php?/runs/view/415" TargetMode="External"/><Relationship Id="rId117" Type="http://schemas.openxmlformats.org/officeDocument/2006/relationships/hyperlink" Target="https://shopview.testrail.io/index.php?/cases/view/146242" TargetMode="External"/><Relationship Id="rId118" Type="http://schemas.openxmlformats.org/officeDocument/2006/relationships/hyperlink" Target="https://shopview.testrail.io/index.php?/runs/view/415" TargetMode="External"/><Relationship Id="rId119" Type="http://schemas.openxmlformats.org/officeDocument/2006/relationships/hyperlink" Target="https://shopview.testrail.io/index.php?/cases/view/146250" TargetMode="External"/><Relationship Id="rId120" Type="http://schemas.openxmlformats.org/officeDocument/2006/relationships/hyperlink" Target="https://shopview.testrail.io/index.php?/runs/view/415" TargetMode="External"/><Relationship Id="rId121" Type="http://schemas.openxmlformats.org/officeDocument/2006/relationships/hyperlink" Target="https://shopview.testrail.io/index.php?/cases/view/146204" TargetMode="External"/><Relationship Id="rId122" Type="http://schemas.openxmlformats.org/officeDocument/2006/relationships/hyperlink" Target="https://shopview.testrail.io/index.php?/runs/view/415" TargetMode="External"/><Relationship Id="rId123" Type="http://schemas.openxmlformats.org/officeDocument/2006/relationships/hyperlink" Target="https://shopview.testrail.io/index.php?/cases/view/45154" TargetMode="External"/><Relationship Id="rId124" Type="http://schemas.openxmlformats.org/officeDocument/2006/relationships/hyperlink" Target="https://shopview.testrail.io/index.php?/runs/view/415" TargetMode="External"/><Relationship Id="rId125" Type="http://schemas.openxmlformats.org/officeDocument/2006/relationships/hyperlink" Target="https://shopview.testrail.io/index.php?/cases/view/44827" TargetMode="External"/><Relationship Id="rId126" Type="http://schemas.openxmlformats.org/officeDocument/2006/relationships/hyperlink" Target="https://shopview.testrail.io/index.php?/runs/view/415" TargetMode="External"/><Relationship Id="rId127" Type="http://schemas.openxmlformats.org/officeDocument/2006/relationships/hyperlink" Target="https://shopview.testrail.io/index.php?/cases/view/44830" TargetMode="External"/><Relationship Id="rId128" Type="http://schemas.openxmlformats.org/officeDocument/2006/relationships/hyperlink" Target="https://shopview.testrail.io/index.php?/runs/view/415" TargetMode="External"/><Relationship Id="rId129"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shopview.testrail.io/index.php?/cases/view/146197"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198"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199"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00"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01"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07"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04"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20"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146221"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146241"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146250"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146210"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146211"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146212"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146224"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146257"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testrail.io/index.php?/cases/view/146277" TargetMode="External"/><Relationship Id="rId34" Type="http://schemas.openxmlformats.org/officeDocument/2006/relationships/hyperlink" Target="https://shopview.testrail.io/index.php?/runs/view/415" TargetMode="External"/><Relationship Id="rId35" Type="http://schemas.openxmlformats.org/officeDocument/2006/relationships/hyperlink" Target="https://shopview.testrail.io/index.php?/cases/view/146225" TargetMode="External"/><Relationship Id="rId36" Type="http://schemas.openxmlformats.org/officeDocument/2006/relationships/hyperlink" Target="https://shopview.testrail.io/index.php?/runs/view/415" TargetMode="External"/><Relationship Id="rId37" Type="http://schemas.openxmlformats.org/officeDocument/2006/relationships/hyperlink" Target="https://shopview.testrail.io/index.php?/cases/view/146234"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testrail.io/index.php?/cases/view/146246" TargetMode="External"/><Relationship Id="rId40" Type="http://schemas.openxmlformats.org/officeDocument/2006/relationships/hyperlink" Target="https://shopview.testrail.io/index.php?/runs/view/415" TargetMode="External"/><Relationship Id="rId41" Type="http://schemas.openxmlformats.org/officeDocument/2006/relationships/hyperlink" Target="https://shopview.testrail.io/index.php?/cases/view/146258" TargetMode="External"/><Relationship Id="rId42" Type="http://schemas.openxmlformats.org/officeDocument/2006/relationships/hyperlink" Target="https://shopview.testrail.io/index.php?/runs/view/415" TargetMode="External"/><Relationship Id="rId43" Type="http://schemas.openxmlformats.org/officeDocument/2006/relationships/hyperlink" Target="https://shopview.testrail.io/index.php?/cases/view/146267"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testrail.io/index.php?/cases/view/146278" TargetMode="External"/><Relationship Id="rId46" Type="http://schemas.openxmlformats.org/officeDocument/2006/relationships/hyperlink" Target="https://shopview.testrail.io/index.php?/runs/view/415" TargetMode="External"/><Relationship Id="rId47" Type="http://schemas.openxmlformats.org/officeDocument/2006/relationships/hyperlink" Target="https://shopview.testrail.io/index.php?/cases/view/146226" TargetMode="External"/><Relationship Id="rId48" Type="http://schemas.openxmlformats.org/officeDocument/2006/relationships/hyperlink" Target="https://shopview.testrail.io/index.php?/runs/view/415" TargetMode="External"/><Relationship Id="rId49" Type="http://schemas.openxmlformats.org/officeDocument/2006/relationships/hyperlink" Target="https://shopview.testrail.io/index.php?/cases/view/146259" TargetMode="External"/><Relationship Id="rId50" Type="http://schemas.openxmlformats.org/officeDocument/2006/relationships/hyperlink" Target="https://shopview.testrail.io/index.php?/runs/view/415" TargetMode="External"/><Relationship Id="rId51" Type="http://schemas.openxmlformats.org/officeDocument/2006/relationships/hyperlink" Target="https://shopview.testrail.io/index.php?/cases/view/146279" TargetMode="External"/><Relationship Id="rId52" Type="http://schemas.openxmlformats.org/officeDocument/2006/relationships/hyperlink" Target="https://shopview.testrail.io/index.php?/runs/view/415" TargetMode="External"/><Relationship Id="rId53" Type="http://schemas.openxmlformats.org/officeDocument/2006/relationships/hyperlink" Target="https://shopview.testrail.io/index.php?/cases/view/146236" TargetMode="External"/><Relationship Id="rId54" Type="http://schemas.openxmlformats.org/officeDocument/2006/relationships/hyperlink" Target="https://shopview.testrail.io/index.php?/runs/view/415" TargetMode="External"/><Relationship Id="rId55" Type="http://schemas.openxmlformats.org/officeDocument/2006/relationships/hyperlink" Target="https://shopview.testrail.io/index.php?/cases/view/146248" TargetMode="External"/><Relationship Id="rId56" Type="http://schemas.openxmlformats.org/officeDocument/2006/relationships/hyperlink" Target="https://shopview.testrail.io/index.php?/runs/view/415" TargetMode="External"/><Relationship Id="rId57" Type="http://schemas.openxmlformats.org/officeDocument/2006/relationships/hyperlink" Target="https://shopview.testrail.io/index.php?/cases/view/146260" TargetMode="External"/><Relationship Id="rId58" Type="http://schemas.openxmlformats.org/officeDocument/2006/relationships/hyperlink" Target="https://shopview.testrail.io/index.php?/runs/view/415" TargetMode="External"/><Relationship Id="rId59" Type="http://schemas.openxmlformats.org/officeDocument/2006/relationships/hyperlink" Target="https://shopview.testrail.io/index.php?/cases/view/146269" TargetMode="External"/><Relationship Id="rId60" Type="http://schemas.openxmlformats.org/officeDocument/2006/relationships/hyperlink" Target="https://shopview.testrail.io/index.php?/runs/view/415" TargetMode="External"/><Relationship Id="rId61" Type="http://schemas.openxmlformats.org/officeDocument/2006/relationships/hyperlink" Target="https://shopview.testrail.io/index.php?/cases/view/146280" TargetMode="External"/><Relationship Id="rId62" Type="http://schemas.openxmlformats.org/officeDocument/2006/relationships/hyperlink" Target="https://shopview.testrail.io/index.php?/runs/view/415" TargetMode="External"/><Relationship Id="rId63" Type="http://schemas.openxmlformats.org/officeDocument/2006/relationships/hyperlink" Target="https://shopview.testrail.io/index.php?/cases/view/146237" TargetMode="External"/><Relationship Id="rId64" Type="http://schemas.openxmlformats.org/officeDocument/2006/relationships/hyperlink" Target="https://shopview.testrail.io/index.php?/runs/view/415" TargetMode="External"/><Relationship Id="rId65" Type="http://schemas.openxmlformats.org/officeDocument/2006/relationships/hyperlink" Target="https://shopview.testrail.io/index.php?/cases/view/146249" TargetMode="External"/><Relationship Id="rId66" Type="http://schemas.openxmlformats.org/officeDocument/2006/relationships/hyperlink" Target="https://shopview.testrail.io/index.php?/runs/view/415" TargetMode="External"/><Relationship Id="rId67" Type="http://schemas.openxmlformats.org/officeDocument/2006/relationships/hyperlink" Target="https://shopview.testrail.io/index.php?/cases/view/146261"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146270" TargetMode="External"/><Relationship Id="rId70" Type="http://schemas.openxmlformats.org/officeDocument/2006/relationships/hyperlink" Target="https://shopview.testrail.io/index.php?/runs/view/415" TargetMode="External"/><Relationship Id="rId71" Type="http://schemas.openxmlformats.org/officeDocument/2006/relationships/hyperlink" Target="https://shopview.testrail.io/index.php?/cases/view/146281" TargetMode="External"/><Relationship Id="rId72" Type="http://schemas.openxmlformats.org/officeDocument/2006/relationships/hyperlink" Target="https://shopview.testrail.io/index.php?/runs/view/415" TargetMode="External"/><Relationship Id="rId73" Type="http://schemas.openxmlformats.org/officeDocument/2006/relationships/hyperlink" Target="https://shopview.testrail.io/index.php?/cases/view/146231" TargetMode="External"/><Relationship Id="rId74" Type="http://schemas.openxmlformats.org/officeDocument/2006/relationships/hyperlink" Target="https://shopview.testrail.io/index.php?/runs/view/415" TargetMode="External"/><Relationship Id="rId75" Type="http://schemas.openxmlformats.org/officeDocument/2006/relationships/hyperlink" Target="https://shopview.testrail.io/index.php?/cases/view/146243" TargetMode="External"/><Relationship Id="rId76" Type="http://schemas.openxmlformats.org/officeDocument/2006/relationships/hyperlink" Target="https://shopview.testrail.io/index.php?/runs/view/415" TargetMode="External"/><Relationship Id="rId77" Type="http://schemas.openxmlformats.org/officeDocument/2006/relationships/hyperlink" Target="https://shopview.testrail.io/index.php?/cases/view/146255" TargetMode="External"/><Relationship Id="rId78" Type="http://schemas.openxmlformats.org/officeDocument/2006/relationships/hyperlink" Target="https://shopview.testrail.io/index.php?/runs/view/415" TargetMode="External"/><Relationship Id="rId79" Type="http://schemas.openxmlformats.org/officeDocument/2006/relationships/hyperlink" Target="https://shopview.testrail.io/index.php?/cases/view/146264" TargetMode="External"/><Relationship Id="rId80" Type="http://schemas.openxmlformats.org/officeDocument/2006/relationships/hyperlink" Target="https://shopview.testrail.io/index.php?/runs/view/415" TargetMode="External"/><Relationship Id="rId81" Type="http://schemas.openxmlformats.org/officeDocument/2006/relationships/hyperlink" Target="https://shopview.testrail.io/index.php?/cases/view/146275" TargetMode="External"/><Relationship Id="rId82" Type="http://schemas.openxmlformats.org/officeDocument/2006/relationships/hyperlink" Target="https://shopview.testrail.io/index.php?/runs/view/415" TargetMode="External"/><Relationship Id="rId83" Type="http://schemas.openxmlformats.org/officeDocument/2006/relationships/hyperlink" Target="https://shopview.testrail.io/index.php?/cases/view/146283" TargetMode="External"/><Relationship Id="rId84" Type="http://schemas.openxmlformats.org/officeDocument/2006/relationships/hyperlink" Target="https://shopview.testrail.io/index.php?/runs/view/415" TargetMode="External"/><Relationship Id="rId85" Type="http://schemas.openxmlformats.org/officeDocument/2006/relationships/hyperlink" Target="https://shopview.testrail.io/index.php?/cases/view/146285" TargetMode="External"/><Relationship Id="rId86" Type="http://schemas.openxmlformats.org/officeDocument/2006/relationships/hyperlink" Target="https://shopview.testrail.io/index.php?/runs/view/415" TargetMode="External"/><Relationship Id="rId87" Type="http://schemas.openxmlformats.org/officeDocument/2006/relationships/hyperlink" Target="https://shopview.testrail.io/index.php?/cases/view/146287" TargetMode="External"/><Relationship Id="rId88" Type="http://schemas.openxmlformats.org/officeDocument/2006/relationships/hyperlink" Target="https://shopview.testrail.io/index.php?/runs/view/415" TargetMode="External"/><Relationship Id="rId89" Type="http://schemas.openxmlformats.org/officeDocument/2006/relationships/hyperlink" Target="https://shopview.testrail.io/index.php?/cases/view/146288" TargetMode="External"/><Relationship Id="rId90" Type="http://schemas.openxmlformats.org/officeDocument/2006/relationships/hyperlink" Target="https://shopview.testrail.io/index.php?/runs/view/415" TargetMode="External"/><Relationship Id="rId91" Type="http://schemas.openxmlformats.org/officeDocument/2006/relationships/hyperlink" Target="https://shopview.testrail.io/index.php?/cases/view/146289" TargetMode="External"/><Relationship Id="rId92" Type="http://schemas.openxmlformats.org/officeDocument/2006/relationships/hyperlink" Target="https://shopview.testrail.io/index.php?/runs/view/415" TargetMode="External"/><Relationship Id="rId93" Type="http://schemas.openxmlformats.org/officeDocument/2006/relationships/hyperlink" Target="https://shopview.testrail.io/index.php?/cases/view/146290" TargetMode="External"/><Relationship Id="rId94" Type="http://schemas.openxmlformats.org/officeDocument/2006/relationships/hyperlink" Target="https://shopview.testrail.io/index.php?/runs/view/415" TargetMode="External"/><Relationship Id="rId95" Type="http://schemas.openxmlformats.org/officeDocument/2006/relationships/hyperlink" Target="https://shopview.testrail.io/index.php?/cases/view/146292" TargetMode="External"/><Relationship Id="rId96" Type="http://schemas.openxmlformats.org/officeDocument/2006/relationships/hyperlink" Target="https://shopview.testrail.io/index.php?/runs/view/415" TargetMode="External"/><Relationship Id="rId97" Type="http://schemas.openxmlformats.org/officeDocument/2006/relationships/hyperlink" Target="https://shopview.testrail.io/index.php?/cases/view/146293" TargetMode="External"/><Relationship Id="rId98" Type="http://schemas.openxmlformats.org/officeDocument/2006/relationships/hyperlink" Target="https://shopview.testrail.io/index.php?/runs/view/415" TargetMode="External"/><Relationship Id="rId99" Type="http://schemas.openxmlformats.org/officeDocument/2006/relationships/hyperlink" Target="https://shopview.testrail.io/index.php?/cases/view/146294" TargetMode="External"/><Relationship Id="rId100" Type="http://schemas.openxmlformats.org/officeDocument/2006/relationships/hyperlink" Target="https://shopview.testrail.io/index.php?/runs/view/415" TargetMode="External"/><Relationship Id="rId101" Type="http://schemas.openxmlformats.org/officeDocument/2006/relationships/hyperlink" Target="https://shopview.testrail.io/index.php?/cases/view/146295" TargetMode="External"/><Relationship Id="rId102" Type="http://schemas.openxmlformats.org/officeDocument/2006/relationships/hyperlink" Target="https://shopview.testrail.io/index.php?/runs/view/415" TargetMode="External"/><Relationship Id="rId103" Type="http://schemas.openxmlformats.org/officeDocument/2006/relationships/hyperlink" Target="https://shopview.testrail.io/index.php?/cases/view/146296" TargetMode="External"/><Relationship Id="rId104" Type="http://schemas.openxmlformats.org/officeDocument/2006/relationships/hyperlink" Target="https://shopview.testrail.io/index.php?/runs/view/415" TargetMode="External"/><Relationship Id="rId105" Type="http://schemas.openxmlformats.org/officeDocument/2006/relationships/hyperlink" Target="https://shopview.testrail.io/index.php?/cases/view/146297" TargetMode="External"/><Relationship Id="rId106" Type="http://schemas.openxmlformats.org/officeDocument/2006/relationships/hyperlink" Target="https://shopview.testrail.io/index.php?/runs/view/415" TargetMode="External"/><Relationship Id="rId107" Type="http://schemas.openxmlformats.org/officeDocument/2006/relationships/hyperlink" Target="https://shopview.testrail.io/index.php?/cases/view/146298" TargetMode="External"/><Relationship Id="rId108" Type="http://schemas.openxmlformats.org/officeDocument/2006/relationships/hyperlink" Target="https://shopview.testrail.io/index.php?/runs/view/415" TargetMode="External"/><Relationship Id="rId109" Type="http://schemas.openxmlformats.org/officeDocument/2006/relationships/hyperlink" Target="https://shopview.testrail.io/index.php?/cases/view/146299" TargetMode="External"/><Relationship Id="rId110" Type="http://schemas.openxmlformats.org/officeDocument/2006/relationships/hyperlink" Target="https://shopview.testrail.io/index.php?/runs/view/415" TargetMode="External"/><Relationship Id="rId111" Type="http://schemas.openxmlformats.org/officeDocument/2006/relationships/hyperlink" Target="https://shopview.testrail.io/index.php?/cases/view/146300" TargetMode="External"/><Relationship Id="rId112" Type="http://schemas.openxmlformats.org/officeDocument/2006/relationships/hyperlink" Target="https://shopview.testrail.io/index.php?/runs/view/415" TargetMode="External"/><Relationship Id="rId113" Type="http://schemas.openxmlformats.org/officeDocument/2006/relationships/hyperlink" Target="https://shopview.testrail.io/index.php?/cases/view/146302" TargetMode="External"/><Relationship Id="rId114" Type="http://schemas.openxmlformats.org/officeDocument/2006/relationships/hyperlink" Target="https://shopview.testrail.io/index.php?/runs/view/415" TargetMode="External"/><Relationship Id="rId115" Type="http://schemas.openxmlformats.org/officeDocument/2006/relationships/hyperlink" Target="https://shopview.testrail.io/index.php?/cases/view/146303" TargetMode="External"/><Relationship Id="rId116" Type="http://schemas.openxmlformats.org/officeDocument/2006/relationships/hyperlink" Target="https://shopview.testrail.io/index.php?/runs/view/415" TargetMode="External"/><Relationship Id="rId117" Type="http://schemas.openxmlformats.org/officeDocument/2006/relationships/hyperlink" Target="https://shopview.testrail.io/index.php?/cases/view/146304" TargetMode="External"/><Relationship Id="rId118" Type="http://schemas.openxmlformats.org/officeDocument/2006/relationships/hyperlink" Target="https://shopview.testrail.io/index.php?/runs/view/415" TargetMode="External"/><Relationship Id="rId119" Type="http://schemas.openxmlformats.org/officeDocument/2006/relationships/hyperlink" Target="https://shopview.testrail.io/index.php?/cases/view/146305" TargetMode="External"/><Relationship Id="rId120" Type="http://schemas.openxmlformats.org/officeDocument/2006/relationships/hyperlink" Target="https://shopview.testrail.io/index.php?/runs/view/415" TargetMode="External"/><Relationship Id="rId121" Type="http://schemas.openxmlformats.org/officeDocument/2006/relationships/hyperlink" Target="https://shopview.testrail.io/index.php?/cases/view/146301" TargetMode="External"/><Relationship Id="rId122" Type="http://schemas.openxmlformats.org/officeDocument/2006/relationships/hyperlink" Target="https://shopview.testrail.io/index.php?/runs/view/415" TargetMode="External"/><Relationship Id="rId123" Type="http://schemas.openxmlformats.org/officeDocument/2006/relationships/hyperlink" Target="https://shopview.testrail.io/index.php?/cases/view/44804" TargetMode="External"/><Relationship Id="rId124" Type="http://schemas.openxmlformats.org/officeDocument/2006/relationships/hyperlink" Target="https://shopview.testrail.io/index.php?/runs/view/415" TargetMode="External"/><Relationship Id="rId125" Type="http://schemas.openxmlformats.org/officeDocument/2006/relationships/hyperlink" Target="https://shopview.testrail.io/index.php?/cases/view/44805" TargetMode="External"/><Relationship Id="rId126" Type="http://schemas.openxmlformats.org/officeDocument/2006/relationships/hyperlink" Target="https://shopview.testrail.io/index.php?/runs/view/415" TargetMode="External"/><Relationship Id="rId127" Type="http://schemas.openxmlformats.org/officeDocument/2006/relationships/hyperlink" Target="https://shopview.testrail.io/index.php?/cases/view/44806" TargetMode="External"/><Relationship Id="rId128" Type="http://schemas.openxmlformats.org/officeDocument/2006/relationships/hyperlink" Target="https://shopview.testrail.io/index.php?/runs/view/415" TargetMode="External"/><Relationship Id="rId129" Type="http://schemas.openxmlformats.org/officeDocument/2006/relationships/hyperlink" Target="https://shopview.testrail.io/index.php?/cases/view/44807" TargetMode="External"/><Relationship Id="rId130" Type="http://schemas.openxmlformats.org/officeDocument/2006/relationships/hyperlink" Target="https://shopview.testrail.io/index.php?/runs/view/415" TargetMode="External"/><Relationship Id="rId131" Type="http://schemas.openxmlformats.org/officeDocument/2006/relationships/hyperlink" Target="https://shopview.testrail.io/index.php?/cases/view/44808" TargetMode="External"/><Relationship Id="rId132" Type="http://schemas.openxmlformats.org/officeDocument/2006/relationships/hyperlink" Target="https://shopview.testrail.io/index.php?/runs/view/415" TargetMode="External"/><Relationship Id="rId133" Type="http://schemas.openxmlformats.org/officeDocument/2006/relationships/hyperlink" Target="https://shopview.testrail.io/index.php?/cases/view/44812" TargetMode="External"/><Relationship Id="rId134" Type="http://schemas.openxmlformats.org/officeDocument/2006/relationships/hyperlink" Target="https://shopview.testrail.io/index.php?/runs/view/415" TargetMode="External"/><Relationship Id="rId135" Type="http://schemas.openxmlformats.org/officeDocument/2006/relationships/hyperlink" Target="https://shopview.testrail.io/index.php?/cases/view/44813" TargetMode="External"/><Relationship Id="rId136" Type="http://schemas.openxmlformats.org/officeDocument/2006/relationships/hyperlink" Target="https://shopview.testrail.io/index.php?/runs/view/415" TargetMode="External"/><Relationship Id="rId137" Type="http://schemas.openxmlformats.org/officeDocument/2006/relationships/hyperlink" Target="https://shopview.testrail.io/index.php?/cases/view/137996" TargetMode="External"/><Relationship Id="rId138" Type="http://schemas.openxmlformats.org/officeDocument/2006/relationships/hyperlink" Target="https://shopview.testrail.io/index.php?/runs/view/415" TargetMode="External"/><Relationship Id="rId139" Type="http://schemas.openxmlformats.org/officeDocument/2006/relationships/hyperlink" Target="https://shopview.testrail.io/index.php?/cases/view/44814" TargetMode="External"/><Relationship Id="rId140" Type="http://schemas.openxmlformats.org/officeDocument/2006/relationships/hyperlink" Target="https://shopview.testrail.io/index.php?/runs/view/415" TargetMode="External"/><Relationship Id="rId141" Type="http://schemas.openxmlformats.org/officeDocument/2006/relationships/hyperlink" Target="https://shopview.testrail.io/index.php?/cases/view/55683" TargetMode="External"/><Relationship Id="rId142" Type="http://schemas.openxmlformats.org/officeDocument/2006/relationships/hyperlink" Target="https://shopview.testrail.io/index.php?/runs/view/415" TargetMode="External"/><Relationship Id="rId143" Type="http://schemas.openxmlformats.org/officeDocument/2006/relationships/hyperlink" Target="https://shopview.testrail.io/index.php?/cases/view/45142" TargetMode="External"/><Relationship Id="rId144" Type="http://schemas.openxmlformats.org/officeDocument/2006/relationships/hyperlink" Target="https://shopview.testrail.io/index.php?/runs/view/415" TargetMode="External"/><Relationship Id="rId145" Type="http://schemas.openxmlformats.org/officeDocument/2006/relationships/hyperlink" Target="https://shopview.testrail.io/index.php?/cases/view/44844" TargetMode="External"/><Relationship Id="rId146" Type="http://schemas.openxmlformats.org/officeDocument/2006/relationships/hyperlink" Target="https://shopview.testrail.io/index.php?/runs/view/415" TargetMode="External"/><Relationship Id="rId147" Type="http://schemas.openxmlformats.org/officeDocument/2006/relationships/hyperlink" Target="https://shopview.testrail.io/index.php?/cases/view/44846" TargetMode="External"/><Relationship Id="rId148" Type="http://schemas.openxmlformats.org/officeDocument/2006/relationships/hyperlink" Target="https://shopview.testrail.io/index.php?/runs/view/415" TargetMode="External"/><Relationship Id="rId149" Type="http://schemas.openxmlformats.org/officeDocument/2006/relationships/hyperlink" Target="https://shopview.testrail.io/index.php?/cases/view/44849" TargetMode="External"/><Relationship Id="rId150" Type="http://schemas.openxmlformats.org/officeDocument/2006/relationships/hyperlink" Target="https://shopview.testrail.io/index.php?/runs/view/415" TargetMode="External"/><Relationship Id="rId151" Type="http://schemas.openxmlformats.org/officeDocument/2006/relationships/hyperlink" Target="https://shopview.testrail.io/index.php?/cases/view/44847" TargetMode="External"/><Relationship Id="rId152" Type="http://schemas.openxmlformats.org/officeDocument/2006/relationships/hyperlink" Target="https://shopview.testrail.io/index.php?/runs/view/415" TargetMode="External"/><Relationship Id="rId153" Type="http://schemas.openxmlformats.org/officeDocument/2006/relationships/hyperlink" Target="https://shopview.testrail.io/index.php?/cases/view/55659" TargetMode="External"/><Relationship Id="rId154" Type="http://schemas.openxmlformats.org/officeDocument/2006/relationships/hyperlink" Target="https://shopview.testrail.io/index.php?/runs/view/415" TargetMode="External"/><Relationship Id="rId155" Type="http://schemas.openxmlformats.org/officeDocument/2006/relationships/hyperlink" Target="https://shopview.testrail.io/index.php?/cases/view/44864" TargetMode="External"/><Relationship Id="rId156" Type="http://schemas.openxmlformats.org/officeDocument/2006/relationships/hyperlink" Target="https://shopview.testrail.io/index.php?/runs/view/415" TargetMode="External"/><Relationship Id="rId157" Type="http://schemas.openxmlformats.org/officeDocument/2006/relationships/hyperlink" Target="https://shopview.testrail.io/index.php?/cases/view/55725" TargetMode="External"/><Relationship Id="rId158" Type="http://schemas.openxmlformats.org/officeDocument/2006/relationships/hyperlink" Target="https://shopview.testrail.io/index.php?/runs/view/415" TargetMode="External"/><Relationship Id="rId159" Type="http://schemas.openxmlformats.org/officeDocument/2006/relationships/hyperlink" Target="https://shopview.testrail.io/index.php?/cases/view/55713" TargetMode="External"/><Relationship Id="rId160" Type="http://schemas.openxmlformats.org/officeDocument/2006/relationships/hyperlink" Target="https://shopview.testrail.io/index.php?/runs/view/415" TargetMode="External"/><Relationship Id="rId161" Type="http://schemas.openxmlformats.org/officeDocument/2006/relationships/hyperlink" Target="https://shopview.testrail.io/index.php?/cases/view/55661" TargetMode="External"/><Relationship Id="rId162" Type="http://schemas.openxmlformats.org/officeDocument/2006/relationships/hyperlink" Target="https://shopview.testrail.io/index.php?/runs/view/415" TargetMode="External"/><Relationship Id="rId163" Type="http://schemas.openxmlformats.org/officeDocument/2006/relationships/hyperlink" Target="https://shopview.testrail.io/index.php?/cases/view/44838" TargetMode="External"/><Relationship Id="rId164" Type="http://schemas.openxmlformats.org/officeDocument/2006/relationships/hyperlink" Target="https://shopview.testrail.io/index.php?/runs/view/415" TargetMode="External"/><Relationship Id="rId165" Type="http://schemas.openxmlformats.org/officeDocument/2006/relationships/hyperlink" Target="https://shopview.testrail.io/index.php?/runs/view/415" TargetMode="External"/><Relationship Id="rId166" Type="http://schemas.openxmlformats.org/officeDocument/2006/relationships/hyperlink" Target="https://shopview.testrail.io/index.php?/cases/view/53578" TargetMode="External"/><Relationship Id="rId167" Type="http://schemas.openxmlformats.org/officeDocument/2006/relationships/hyperlink" Target="https://shopview.testrail.io/index.php?/runs/view/415" TargetMode="External"/><Relationship Id="rId168" Type="http://schemas.openxmlformats.org/officeDocument/2006/relationships/hyperlink" Target="https://shopview.testrail.io/index.php?/cases/view/53580" TargetMode="External"/><Relationship Id="rId169" Type="http://schemas.openxmlformats.org/officeDocument/2006/relationships/hyperlink" Target="https://shopview.testrail.io/index.php?/runs/view/415" TargetMode="External"/><Relationship Id="rId170" Type="http://schemas.openxmlformats.org/officeDocument/2006/relationships/hyperlink" Target="https://shopview.testrail.io/index.php?/cases/view/53581" TargetMode="External"/><Relationship Id="rId171" Type="http://schemas.openxmlformats.org/officeDocument/2006/relationships/hyperlink" Target="https://shopview.testrail.io/index.php?/runs/view/415" TargetMode="External"/><Relationship Id="rId172" Type="http://schemas.openxmlformats.org/officeDocument/2006/relationships/hyperlink" Target="https://shopview.testrail.io/index.php?/cases/view/53607" TargetMode="External"/><Relationship Id="rId173" Type="http://schemas.openxmlformats.org/officeDocument/2006/relationships/hyperlink" Target="https://shopview.testrail.io/index.php?/runs/view/415" TargetMode="External"/><Relationship Id="rId174" Type="http://schemas.openxmlformats.org/officeDocument/2006/relationships/hyperlink" Target="https://shopview.testrail.io/index.php?/cases/view/55663" TargetMode="External"/><Relationship Id="rId175" Type="http://schemas.openxmlformats.org/officeDocument/2006/relationships/hyperlink" Target="https://shopview.testrail.io/index.php?/runs/view/415" TargetMode="External"/><Relationship Id="rId176" Type="http://schemas.openxmlformats.org/officeDocument/2006/relationships/hyperlink" Target="https://shopview.testrail.io/index.php?/cases/view/55665" TargetMode="External"/><Relationship Id="rId177" Type="http://schemas.openxmlformats.org/officeDocument/2006/relationships/hyperlink" Target="https://shopview.testrail.io/index.php?/runs/view/415" TargetMode="External"/><Relationship Id="rId178" Type="http://schemas.openxmlformats.org/officeDocument/2006/relationships/hyperlink" Target="https://shopview.testrail.io/index.php?/cases/view/55666" TargetMode="External"/><Relationship Id="rId179" Type="http://schemas.openxmlformats.org/officeDocument/2006/relationships/hyperlink" Target="https://shopview.testrail.io/index.php?/runs/view/415" TargetMode="External"/><Relationship Id="rId180" Type="http://schemas.openxmlformats.org/officeDocument/2006/relationships/hyperlink" Target="https://shopview.testrail.io/index.php?/cases/view/55667" TargetMode="External"/><Relationship Id="rId181" Type="http://schemas.openxmlformats.org/officeDocument/2006/relationships/hyperlink" Target="https://shopview.testrail.io/index.php?/runs/view/415" TargetMode="External"/><Relationship Id="rId182" Type="http://schemas.openxmlformats.org/officeDocument/2006/relationships/hyperlink" Target="https://shopview.testrail.io/index.php?/cases/view/55668" TargetMode="External"/><Relationship Id="rId183" Type="http://schemas.openxmlformats.org/officeDocument/2006/relationships/hyperlink" Target="https://shopview.testrail.io/index.php?/runs/view/415" TargetMode="External"/><Relationship Id="rId184" Type="http://schemas.openxmlformats.org/officeDocument/2006/relationships/hyperlink" Target="https://shopview.testrail.io/index.php?/cases/view/55671" TargetMode="External"/><Relationship Id="rId185" Type="http://schemas.openxmlformats.org/officeDocument/2006/relationships/hyperlink" Target="https://shopview.testrail.io/index.php?/runs/view/415" TargetMode="External"/><Relationship Id="rId186" Type="http://schemas.openxmlformats.org/officeDocument/2006/relationships/hyperlink" Target="https://shopview.testrail.io/index.php?/cases/view/55688" TargetMode="External"/><Relationship Id="rId187" Type="http://schemas.openxmlformats.org/officeDocument/2006/relationships/hyperlink" Target="https://shopview.testrail.io/index.php?/runs/view/415" TargetMode="External"/><Relationship Id="rId188" Type="http://schemas.openxmlformats.org/officeDocument/2006/relationships/hyperlink" Target="https://shopview.testrail.io/index.php?/cases/view/55689" TargetMode="External"/><Relationship Id="rId189" Type="http://schemas.openxmlformats.org/officeDocument/2006/relationships/hyperlink" Target="https://shopview.testrail.io/index.php?/runs/view/415" TargetMode="External"/><Relationship Id="rId190" Type="http://schemas.openxmlformats.org/officeDocument/2006/relationships/hyperlink" Target="https://shopview.testrail.io/index.php?/cases/view/45156" TargetMode="External"/><Relationship Id="rId191" Type="http://schemas.openxmlformats.org/officeDocument/2006/relationships/hyperlink" Target="https://shopview.testrail.io/index.php?/runs/view/415" TargetMode="External"/><Relationship Id="rId192" Type="http://schemas.openxmlformats.org/officeDocument/2006/relationships/hyperlink" Target="https://shopview.testrail.io/index.php?/cases/view/45161" TargetMode="External"/><Relationship Id="rId193" Type="http://schemas.openxmlformats.org/officeDocument/2006/relationships/hyperlink" Target="https://shopview.testrail.io/index.php?/runs/view/415" TargetMode="External"/><Relationship Id="rId194" Type="http://schemas.openxmlformats.org/officeDocument/2006/relationships/hyperlink" Target="https://shopview.testrail.io/index.php?/cases/view/45155" TargetMode="External"/><Relationship Id="rId195" Type="http://schemas.openxmlformats.org/officeDocument/2006/relationships/hyperlink" Target="https://shopview.testrail.io/index.php?/runs/view/415" TargetMode="External"/><Relationship Id="rId196" Type="http://schemas.openxmlformats.org/officeDocument/2006/relationships/hyperlink" Target="https://shopview.testrail.io/index.php?/cases/view/55675" TargetMode="External"/><Relationship Id="rId197" Type="http://schemas.openxmlformats.org/officeDocument/2006/relationships/hyperlink" Target="https://shopview.testrail.io/index.php?/runs/view/415" TargetMode="External"/><Relationship Id="rId198" Type="http://schemas.openxmlformats.org/officeDocument/2006/relationships/hyperlink" Target="https://shopview.testrail.io/index.php?/cases/view/55673" TargetMode="External"/><Relationship Id="rId199" Type="http://schemas.openxmlformats.org/officeDocument/2006/relationships/hyperlink" Target="https://shopview.testrail.io/index.php?/runs/view/415" TargetMode="External"/><Relationship Id="rId200" Type="http://schemas.openxmlformats.org/officeDocument/2006/relationships/hyperlink" Target="https://shopview.testrail.io/index.php?/cases/view/55680" TargetMode="External"/><Relationship Id="rId201" Type="http://schemas.openxmlformats.org/officeDocument/2006/relationships/hyperlink" Target="https://shopview.testrail.io/index.php?/runs/view/415" TargetMode="External"/><Relationship Id="rId202" Type="http://schemas.openxmlformats.org/officeDocument/2006/relationships/hyperlink" Target="https://shopview.testrail.io/index.php?/cases/view/55682" TargetMode="External"/><Relationship Id="rId203" Type="http://schemas.openxmlformats.org/officeDocument/2006/relationships/hyperlink" Target="https://shopview.testrail.io/index.php?/runs/view/415" TargetMode="External"/><Relationship Id="rId204" Type="http://schemas.openxmlformats.org/officeDocument/2006/relationships/hyperlink" Target="https://shopview.testrail.io/index.php?/cases/view/45157" TargetMode="External"/><Relationship Id="rId205" Type="http://schemas.openxmlformats.org/officeDocument/2006/relationships/hyperlink" Target="https://shopview.testrail.io/index.php?/runs/view/415" TargetMode="External"/><Relationship Id="rId206" Type="http://schemas.openxmlformats.org/officeDocument/2006/relationships/hyperlink" Target="https://shopview.testrail.io/index.php?/cases/view/53589" TargetMode="External"/><Relationship Id="rId207" Type="http://schemas.openxmlformats.org/officeDocument/2006/relationships/hyperlink" Target="https://shopview.testrail.io/index.php?/runs/view/415" TargetMode="External"/><Relationship Id="rId208" Type="http://schemas.openxmlformats.org/officeDocument/2006/relationships/hyperlink" Target="https://shopview.testrail.io/index.php?/cases/view/44861" TargetMode="External"/><Relationship Id="rId209" Type="http://schemas.openxmlformats.org/officeDocument/2006/relationships/hyperlink" Target="https://shopview.testrail.io/index.php?/runs/view/415" TargetMode="External"/><Relationship Id="rId210" Type="http://schemas.openxmlformats.org/officeDocument/2006/relationships/hyperlink" Target="https://shopview.testrail.io/index.php?/cases/view/44878" TargetMode="External"/><Relationship Id="rId211" Type="http://schemas.openxmlformats.org/officeDocument/2006/relationships/hyperlink" Target="https://shopview.testrail.io/index.php?/runs/view/415" TargetMode="External"/><Relationship Id="rId212" Type="http://schemas.openxmlformats.org/officeDocument/2006/relationships/hyperlink" Target="https://shopview.testrail.io/index.php?/cases/view/45145" TargetMode="External"/><Relationship Id="rId213" Type="http://schemas.openxmlformats.org/officeDocument/2006/relationships/hyperlink" Target="https://shopview.testrail.io/index.php?/runs/view/415" TargetMode="External"/><Relationship Id="rId214" Type="http://schemas.openxmlformats.org/officeDocument/2006/relationships/hyperlink" Target="https://shopview.testrail.io/index.php?/cases/view/55704" TargetMode="External"/><Relationship Id="rId215" Type="http://schemas.openxmlformats.org/officeDocument/2006/relationships/hyperlink" Target="https://shopview.testrail.io/index.php?/runs/view/415" TargetMode="External"/><Relationship Id="rId216" Type="http://schemas.openxmlformats.org/officeDocument/2006/relationships/hyperlink" Target="https://shopview.testrail.io/index.php?/cases/view/55731" TargetMode="External"/><Relationship Id="rId217" Type="http://schemas.openxmlformats.org/officeDocument/2006/relationships/hyperlink" Target="https://shopview.testrail.io/index.php?/runs/view/415" TargetMode="External"/><Relationship Id="rId218" Type="http://schemas.openxmlformats.org/officeDocument/2006/relationships/hyperlink" Target="https://shopview.testrail.io/index.php?/cases/view/55734" TargetMode="External"/><Relationship Id="rId219" Type="http://schemas.openxmlformats.org/officeDocument/2006/relationships/hyperlink" Target="https://shopview.testrail.io/index.php?/runs/view/415" TargetMode="External"/><Relationship Id="rId220" Type="http://schemas.openxmlformats.org/officeDocument/2006/relationships/hyperlink" Target="https://shopview.testrail.io/index.php?/cases/view/55735" TargetMode="External"/><Relationship Id="rId221" Type="http://schemas.openxmlformats.org/officeDocument/2006/relationships/hyperlink" Target="https://shopview.testrail.io/index.php?/runs/view/415" TargetMode="External"/><Relationship Id="rId222" Type="http://schemas.openxmlformats.org/officeDocument/2006/relationships/hyperlink" Target="https://shopview.testrail.io/index.php?/cases/view/44881" TargetMode="External"/><Relationship Id="rId223" Type="http://schemas.openxmlformats.org/officeDocument/2006/relationships/hyperlink" Target="https://shopview.testrail.io/index.php?/runs/view/415" TargetMode="External"/><Relationship Id="rId224" Type="http://schemas.openxmlformats.org/officeDocument/2006/relationships/hyperlink" Target="https://shopview.testrail.io/index.php?/cases/view/55718" TargetMode="External"/><Relationship Id="rId225" Type="http://schemas.openxmlformats.org/officeDocument/2006/relationships/hyperlink" Target="https://shopview.testrail.io/index.php?/runs/view/415" TargetMode="External"/><Relationship Id="rId226" Type="http://schemas.openxmlformats.org/officeDocument/2006/relationships/hyperlink" Target="https://shopview.testrail.io/index.php?/cases/view/55721" TargetMode="External"/><Relationship Id="rId227" Type="http://schemas.openxmlformats.org/officeDocument/2006/relationships/hyperlink" Target="https://shopview.testrail.io/index.php?/runs/view/415" TargetMode="External"/><Relationship Id="rId228" Type="http://schemas.openxmlformats.org/officeDocument/2006/relationships/hyperlink" Target="https://shopview.testrail.io/index.php?/cases/view/55717" TargetMode="External"/><Relationship Id="rId229" Type="http://schemas.openxmlformats.org/officeDocument/2006/relationships/hyperlink" Target="https://shopview.testrail.io/index.php?/runs/view/415" TargetMode="External"/><Relationship Id="rId230" Type="http://schemas.openxmlformats.org/officeDocument/2006/relationships/hyperlink" Target="https://shopview.testrail.io/index.php?/cases/view/45149" TargetMode="External"/><Relationship Id="rId231" Type="http://schemas.openxmlformats.org/officeDocument/2006/relationships/hyperlink" Target="https://shopview.testrail.io/index.php?/runs/view/415" TargetMode="External"/><Relationship Id="rId232" Type="http://schemas.openxmlformats.org/officeDocument/2006/relationships/hyperlink" Target="https://shopview.testrail.io/index.php?/cases/view/45148" TargetMode="External"/><Relationship Id="rId233" Type="http://schemas.openxmlformats.org/officeDocument/2006/relationships/hyperlink" Target="https://shopview.testrail.io/index.php?/runs/view/415" TargetMode="External"/><Relationship Id="rId234" Type="http://schemas.openxmlformats.org/officeDocument/2006/relationships/hyperlink" Target="https://shopview.testrail.io/index.php?/cases/view/44860" TargetMode="External"/><Relationship Id="rId235" Type="http://schemas.openxmlformats.org/officeDocument/2006/relationships/hyperlink" Target="https://shopview.testrail.io/index.php?/runs/view/415" TargetMode="External"/><Relationship Id="rId236" Type="http://schemas.openxmlformats.org/officeDocument/2006/relationships/hyperlink" Target="https://shopview.testrail.io/index.php?/cases/view/44852" TargetMode="External"/><Relationship Id="rId237" Type="http://schemas.openxmlformats.org/officeDocument/2006/relationships/hyperlink" Target="https://shopview.testrail.io/index.php?/runs/view/415" TargetMode="External"/><Relationship Id="rId238" Type="http://schemas.openxmlformats.org/officeDocument/2006/relationships/hyperlink" Target="https://shopview.testrail.io/index.php?/cases/view/53588" TargetMode="External"/><Relationship Id="rId239" Type="http://schemas.openxmlformats.org/officeDocument/2006/relationships/hyperlink" Target="https://shopview.testrail.io/index.php?/runs/view/415" TargetMode="External"/><Relationship Id="rId240" Type="http://schemas.openxmlformats.org/officeDocument/2006/relationships/hyperlink" Target="https://shopview.testrail.io/index.php?/cases/view/45128" TargetMode="External"/><Relationship Id="rId241" Type="http://schemas.openxmlformats.org/officeDocument/2006/relationships/hyperlink" Target="https://shopview.testrail.io/index.php?/runs/view/415" TargetMode="External"/><Relationship Id="rId242" Type="http://schemas.openxmlformats.org/officeDocument/2006/relationships/hyperlink" Target="https://shopview.testrail.io/index.php?/cases/view/55674" TargetMode="External"/><Relationship Id="rId243" Type="http://schemas.openxmlformats.org/officeDocument/2006/relationships/hyperlink" Target="https://shopview.testrail.io/index.php?/runs/view/415" TargetMode="External"/><Relationship Id="rId244" Type="http://schemas.openxmlformats.org/officeDocument/2006/relationships/hyperlink" Target="https://shopview.testrail.io/index.php?/cases/view/45135" TargetMode="External"/><Relationship Id="rId245" Type="http://schemas.openxmlformats.org/officeDocument/2006/relationships/hyperlink" Target="https://shopview.testrail.io/index.php?/runs/view/415" TargetMode="External"/><Relationship Id="rId246" Type="http://schemas.openxmlformats.org/officeDocument/2006/relationships/hyperlink" Target="https://shopview.testrail.io/index.php?/cases/view/44850" TargetMode="External"/><Relationship Id="rId247" Type="http://schemas.openxmlformats.org/officeDocument/2006/relationships/hyperlink" Target="https://shopview.testrail.io/index.php?/runs/view/415" TargetMode="External"/><Relationship Id="rId248" Type="http://schemas.openxmlformats.org/officeDocument/2006/relationships/hyperlink" Target="https://shopview.testrail.io/index.php?/cases/view/55729" TargetMode="External"/><Relationship Id="rId249" Type="http://schemas.openxmlformats.org/officeDocument/2006/relationships/hyperlink" Target="https://shopview.testrail.io/index.php?/runs/view/415" TargetMode="External"/><Relationship Id="rId250" Type="http://schemas.openxmlformats.org/officeDocument/2006/relationships/hyperlink" Target="https://shopview.testrail.io/index.php?/cases/view/44853" TargetMode="External"/><Relationship Id="rId251" Type="http://schemas.openxmlformats.org/officeDocument/2006/relationships/hyperlink" Target="https://shopview.testrail.io/index.php?/runs/view/415" TargetMode="External"/><Relationship Id="rId252" Type="http://schemas.openxmlformats.org/officeDocument/2006/relationships/hyperlink" Target="https://shopview.testrail.io/index.php?/cases/view/44854" TargetMode="External"/><Relationship Id="rId253" Type="http://schemas.openxmlformats.org/officeDocument/2006/relationships/hyperlink" Target="https://shopview.testrail.io/index.php?/runs/view/415" TargetMode="External"/><Relationship Id="rId254" Type="http://schemas.openxmlformats.org/officeDocument/2006/relationships/hyperlink" Target="https://shopview.testrail.io/index.php?/cases/view/55708" TargetMode="External"/><Relationship Id="rId255" Type="http://schemas.openxmlformats.org/officeDocument/2006/relationships/hyperlink" Target="https://shopview.testrail.io/index.php?/runs/view/415" TargetMode="External"/><Relationship Id="rId256" Type="http://schemas.openxmlformats.org/officeDocument/2006/relationships/hyperlink" Target="https://shopview.testrail.io/index.php?/cases/view/55709" TargetMode="External"/><Relationship Id="rId257" Type="http://schemas.openxmlformats.org/officeDocument/2006/relationships/hyperlink" Target="https://shopview.testrail.io/index.php?/runs/view/415" TargetMode="External"/><Relationship Id="rId258" Type="http://schemas.openxmlformats.org/officeDocument/2006/relationships/hyperlink" Target="https://shopview.testrail.io/index.php?/cases/view/55710" TargetMode="External"/><Relationship Id="rId259" Type="http://schemas.openxmlformats.org/officeDocument/2006/relationships/hyperlink" Target="https://shopview.testrail.io/index.php?/runs/view/415" TargetMode="External"/><Relationship Id="rId260" Type="http://schemas.openxmlformats.org/officeDocument/2006/relationships/hyperlink" Target="https://shopview.testrail.io/index.php?/cases/view/55722" TargetMode="External"/><Relationship Id="rId261" Type="http://schemas.openxmlformats.org/officeDocument/2006/relationships/hyperlink" Target="https://shopview.testrail.io/index.php?/runs/view/415" TargetMode="External"/><Relationship Id="rId262" Type="http://schemas.openxmlformats.org/officeDocument/2006/relationships/hyperlink" Target="https://shopview.testrail.io/index.php?/cases/view/44899" TargetMode="External"/><Relationship Id="rId263" Type="http://schemas.openxmlformats.org/officeDocument/2006/relationships/hyperlink" Target="https://shopview.testrail.io/index.php?/runs/view/415" TargetMode="External"/><Relationship Id="rId264" Type="http://schemas.openxmlformats.org/officeDocument/2006/relationships/hyperlink" Target="https://shopview.testrail.io/index.php?/cases/view/44900" TargetMode="External"/><Relationship Id="rId265" Type="http://schemas.openxmlformats.org/officeDocument/2006/relationships/hyperlink" Target="https://shopview.testrail.io/index.php?/runs/view/415" TargetMode="External"/><Relationship Id="rId266" Type="http://schemas.openxmlformats.org/officeDocument/2006/relationships/hyperlink" Target="https://shopview.testrail.io/index.php?/cases/view/146262" TargetMode="External"/><Relationship Id="rId267" Type="http://schemas.openxmlformats.org/officeDocument/2006/relationships/hyperlink" Target="https://shopview.testrail.io/index.php?/runs/view/415" TargetMode="External"/><Relationship Id="rId268" Type="http://schemas.openxmlformats.org/officeDocument/2006/relationships/hyperlink" Target="https://shopview.testrail.io/index.php?/cases/view/55736" TargetMode="External"/><Relationship Id="rId269" Type="http://schemas.openxmlformats.org/officeDocument/2006/relationships/hyperlink" Target="https://shopview.testrail.io/index.php?/runs/view/415" TargetMode="External"/><Relationship Id="rId270" Type="http://schemas.openxmlformats.org/officeDocument/2006/relationships/hyperlink" Target="https://shopview.testrail.io/index.php?/cases/view/44857" TargetMode="External"/><Relationship Id="rId271" Type="http://schemas.openxmlformats.org/officeDocument/2006/relationships/hyperlink" Target="https://shopview.testrail.io/index.php?/runs/view/415" TargetMode="External"/><Relationship Id="rId272" Type="http://schemas.openxmlformats.org/officeDocument/2006/relationships/hyperlink" Target="https://shopview.testrail.io/index.php?/cases/view/44858" TargetMode="External"/><Relationship Id="rId273" Type="http://schemas.openxmlformats.org/officeDocument/2006/relationships/hyperlink" Target="https://shopview.testrail.io/index.php?/runs/view/415" TargetMode="External"/><Relationship Id="rId274" Type="http://schemas.openxmlformats.org/officeDocument/2006/relationships/hyperlink" Target="https://shopview.testrail.io/index.php?/cases/view/44859" TargetMode="External"/><Relationship Id="rId275" Type="http://schemas.openxmlformats.org/officeDocument/2006/relationships/hyperlink" Target="https://shopview.testrail.io/index.php?/runs/view/415" TargetMode="External"/><Relationship Id="rId276" Type="http://schemas.openxmlformats.org/officeDocument/2006/relationships/hyperlink" Target="https://shopview.testrail.io/index.php?/cases/view/44865" TargetMode="External"/><Relationship Id="rId277" Type="http://schemas.openxmlformats.org/officeDocument/2006/relationships/hyperlink" Target="https://shopview.testrail.io/index.php?/runs/view/415" TargetMode="External"/><Relationship Id="rId278" Type="http://schemas.openxmlformats.org/officeDocument/2006/relationships/hyperlink" Target="https://shopview.testrail.io/index.php?/cases/view/44898" TargetMode="External"/><Relationship Id="rId279" Type="http://schemas.openxmlformats.org/officeDocument/2006/relationships/hyperlink" Target="https://shopview.testrail.io/index.php?/runs/view/415" TargetMode="External"/><Relationship Id="rId280" Type="http://schemas.openxmlformats.org/officeDocument/2006/relationships/hyperlink" Target="https://shopview.testrail.io/index.php?/cases/view/45132" TargetMode="External"/><Relationship Id="rId281" Type="http://schemas.openxmlformats.org/officeDocument/2006/relationships/hyperlink" Target="https://shopview.testrail.io/index.php?/runs/view/415" TargetMode="External"/><Relationship Id="rId282" Type="http://schemas.openxmlformats.org/officeDocument/2006/relationships/hyperlink" Target="https://shopview.testrail.io/index.php?/cases/view/45133" TargetMode="External"/><Relationship Id="rId283" Type="http://schemas.openxmlformats.org/officeDocument/2006/relationships/hyperlink" Target="https://shopview.testrail.io/index.php?/runs/view/415" TargetMode="External"/><Relationship Id="rId284" Type="http://schemas.openxmlformats.org/officeDocument/2006/relationships/hyperlink" Target="https://shopview.testrail.io/index.php?/cases/view/146224" TargetMode="External"/><Relationship Id="rId285" Type="http://schemas.openxmlformats.org/officeDocument/2006/relationships/hyperlink" Target="https://shopview.testrail.io/index.php?/runs/view/415" TargetMode="External"/><Relationship Id="rId286" Type="http://schemas.openxmlformats.org/officeDocument/2006/relationships/hyperlink" Target="https://shopview.testrail.io/index.php?/cases/view/146233" TargetMode="External"/><Relationship Id="rId287" Type="http://schemas.openxmlformats.org/officeDocument/2006/relationships/hyperlink" Target="https://shopview.testrail.io/index.php?/runs/view/415" TargetMode="External"/><Relationship Id="rId288" Type="http://schemas.openxmlformats.org/officeDocument/2006/relationships/hyperlink" Target="https://shopview.testrail.io/index.php?/cases/view/146245" TargetMode="External"/><Relationship Id="rId289" Type="http://schemas.openxmlformats.org/officeDocument/2006/relationships/hyperlink" Target="https://shopview.testrail.io/index.php?/runs/view/415" TargetMode="External"/><Relationship Id="rId290" Type="http://schemas.openxmlformats.org/officeDocument/2006/relationships/hyperlink" Target="https://shopview.testrail.io/index.php?/cases/view/146257" TargetMode="External"/><Relationship Id="rId291" Type="http://schemas.openxmlformats.org/officeDocument/2006/relationships/hyperlink" Target="https://shopview.testrail.io/index.php?/runs/view/415" TargetMode="External"/><Relationship Id="rId292" Type="http://schemas.openxmlformats.org/officeDocument/2006/relationships/hyperlink" Target="https://shopview.testrail.io/index.php?/cases/view/146266" TargetMode="External"/><Relationship Id="rId293" Type="http://schemas.openxmlformats.org/officeDocument/2006/relationships/hyperlink" Target="https://shopview.testrail.io/index.php?/runs/view/415" TargetMode="External"/><Relationship Id="rId294" Type="http://schemas.openxmlformats.org/officeDocument/2006/relationships/hyperlink" Target="https://shopview.testrail.io/index.php?/cases/view/146277" TargetMode="External"/><Relationship Id="rId295" Type="http://schemas.openxmlformats.org/officeDocument/2006/relationships/hyperlink" Target="https://shopview.testrail.io/index.php?/runs/view/415" TargetMode="External"/><Relationship Id="rId296" Type="http://schemas.openxmlformats.org/officeDocument/2006/relationships/hyperlink" Target="https://shopview.testrail.io/index.php?/cases/view/146225" TargetMode="External"/><Relationship Id="rId297" Type="http://schemas.openxmlformats.org/officeDocument/2006/relationships/hyperlink" Target="https://shopview.testrail.io/index.php?/runs/view/415" TargetMode="External"/><Relationship Id="rId298" Type="http://schemas.openxmlformats.org/officeDocument/2006/relationships/hyperlink" Target="https://shopview.testrail.io/index.php?/cases/view/146234" TargetMode="External"/><Relationship Id="rId299" Type="http://schemas.openxmlformats.org/officeDocument/2006/relationships/hyperlink" Target="https://shopview.testrail.io/index.php?/runs/view/415" TargetMode="External"/><Relationship Id="rId300" Type="http://schemas.openxmlformats.org/officeDocument/2006/relationships/hyperlink" Target="https://shopview.testrail.io/index.php?/cases/view/146246" TargetMode="External"/><Relationship Id="rId301" Type="http://schemas.openxmlformats.org/officeDocument/2006/relationships/hyperlink" Target="https://shopview.testrail.io/index.php?/runs/view/415" TargetMode="External"/><Relationship Id="rId302" Type="http://schemas.openxmlformats.org/officeDocument/2006/relationships/hyperlink" Target="https://shopview.testrail.io/index.php?/cases/view/146258" TargetMode="External"/><Relationship Id="rId303" Type="http://schemas.openxmlformats.org/officeDocument/2006/relationships/hyperlink" Target="https://shopview.testrail.io/index.php?/runs/view/415" TargetMode="External"/><Relationship Id="rId304" Type="http://schemas.openxmlformats.org/officeDocument/2006/relationships/hyperlink" Target="https://shopview.testrail.io/index.php?/cases/view/146267" TargetMode="External"/><Relationship Id="rId305" Type="http://schemas.openxmlformats.org/officeDocument/2006/relationships/hyperlink" Target="https://shopview.testrail.io/index.php?/runs/view/415" TargetMode="External"/><Relationship Id="rId306" Type="http://schemas.openxmlformats.org/officeDocument/2006/relationships/hyperlink" Target="https://shopview.testrail.io/index.php?/cases/view/146278" TargetMode="External"/><Relationship Id="rId307" Type="http://schemas.openxmlformats.org/officeDocument/2006/relationships/hyperlink" Target="https://shopview.testrail.io/index.php?/runs/view/415" TargetMode="External"/><Relationship Id="rId308" Type="http://schemas.openxmlformats.org/officeDocument/2006/relationships/hyperlink" Target="https://shopview.testrail.io/index.php?/cases/view/146247" TargetMode="External"/><Relationship Id="rId309" Type="http://schemas.openxmlformats.org/officeDocument/2006/relationships/hyperlink" Target="https://shopview.testrail.io/index.php?/runs/view/415" TargetMode="External"/><Relationship Id="rId310" Type="http://schemas.openxmlformats.org/officeDocument/2006/relationships/hyperlink" Target="https://shopview.testrail.io/index.php?/cases/view/146268" TargetMode="External"/><Relationship Id="rId311" Type="http://schemas.openxmlformats.org/officeDocument/2006/relationships/hyperlink" Target="https://shopview.testrail.io/index.php?/runs/view/415" TargetMode="External"/><Relationship Id="rId312" Type="http://schemas.openxmlformats.org/officeDocument/2006/relationships/hyperlink" Target="https://shopview.testrail.io/index.php?/cases/view/146279" TargetMode="External"/><Relationship Id="rId313" Type="http://schemas.openxmlformats.org/officeDocument/2006/relationships/hyperlink" Target="https://shopview.testrail.io/index.php?/runs/view/415" TargetMode="External"/><Relationship Id="rId314" Type="http://schemas.openxmlformats.org/officeDocument/2006/relationships/hyperlink" Target="https://shopview.testrail.io/index.php?/cases/view/146229" TargetMode="External"/><Relationship Id="rId315" Type="http://schemas.openxmlformats.org/officeDocument/2006/relationships/hyperlink" Target="https://shopview.testrail.io/index.php?/runs/view/415" TargetMode="External"/><Relationship Id="rId316" Type="http://schemas.openxmlformats.org/officeDocument/2006/relationships/hyperlink" Target="https://shopview.testrail.io/index.php?/cases/view/44862" TargetMode="External"/><Relationship Id="rId317" Type="http://schemas.openxmlformats.org/officeDocument/2006/relationships/hyperlink" Target="https://shopview.testrail.io/index.php?/runs/view/415" TargetMode="External"/><Relationship Id="rId318" Type="http://schemas.openxmlformats.org/officeDocument/2006/relationships/hyperlink" Target="https://shopview.testrail.io/index.php?/cases/view/44833" TargetMode="External"/><Relationship Id="rId319" Type="http://schemas.openxmlformats.org/officeDocument/2006/relationships/hyperlink" Target="https://shopview.testrail.io/index.php?/runs/view/415" TargetMode="External"/><Relationship Id="rId320" Type="http://schemas.openxmlformats.org/officeDocument/2006/relationships/hyperlink" Target="https://shopview.testrail.io/index.php?/cases/view/44834" TargetMode="External"/><Relationship Id="rId321" Type="http://schemas.openxmlformats.org/officeDocument/2006/relationships/hyperlink" Target="https://shopview.testrail.io/index.php?/runs/view/415" TargetMode="External"/><Relationship Id="rId322" Type="http://schemas.openxmlformats.org/officeDocument/2006/relationships/hyperlink" Target="https://shopview.testrail.io/index.php?/cases/view/44835" TargetMode="External"/><Relationship Id="rId323" Type="http://schemas.openxmlformats.org/officeDocument/2006/relationships/hyperlink" Target="https://shopview.testrail.io/index.php?/runs/view/415" TargetMode="External"/><Relationship Id="rId324" Type="http://schemas.openxmlformats.org/officeDocument/2006/relationships/hyperlink" Target="https://shopview.testrail.io/index.php?/cases/view/44836" TargetMode="External"/><Relationship Id="rId325" Type="http://schemas.openxmlformats.org/officeDocument/2006/relationships/hyperlink" Target="https://shopview.testrail.io/index.php?/runs/view/415" TargetMode="External"/><Relationship Id="rId326" Type="http://schemas.openxmlformats.org/officeDocument/2006/relationships/hyperlink" Target="https://shopview.testrail.io/index.php?/cases/view/44845" TargetMode="External"/><Relationship Id="rId327" Type="http://schemas.openxmlformats.org/officeDocument/2006/relationships/hyperlink" Target="https://shopview.testrail.io/index.php?/runs/view/415" TargetMode="External"/><Relationship Id="rId328" Type="http://schemas.openxmlformats.org/officeDocument/2006/relationships/hyperlink" Target="https://shopview.testrail.io/index.php?/cases/view/44842" TargetMode="External"/><Relationship Id="rId329" Type="http://schemas.openxmlformats.org/officeDocument/2006/relationships/hyperlink" Target="https://shopview.testrail.io/index.php?/runs/view/415" TargetMode="External"/><Relationship Id="rId330" Type="http://schemas.openxmlformats.org/officeDocument/2006/relationships/hyperlink" Target="https://shopview.testrail.io/index.php?/cases/view/96844" TargetMode="External"/><Relationship Id="rId331" Type="http://schemas.openxmlformats.org/officeDocument/2006/relationships/hyperlink" Target="https://shopview.testrail.io/index.php?/runs/view/415" TargetMode="External"/><Relationship Id="rId332" Type="http://schemas.openxmlformats.org/officeDocument/2006/relationships/hyperlink" Target="https://shopview.testrail.io/index.php?/cases/view/96845" TargetMode="External"/><Relationship Id="rId333" Type="http://schemas.openxmlformats.org/officeDocument/2006/relationships/hyperlink" Target="https://shopview.testrail.io/index.php?/runs/view/415" TargetMode="External"/><Relationship Id="rId334" Type="http://schemas.openxmlformats.org/officeDocument/2006/relationships/hyperlink" Target="https://shopview.testrail.io/index.php?/cases/view/55728" TargetMode="External"/><Relationship Id="rId335" Type="http://schemas.openxmlformats.org/officeDocument/2006/relationships/hyperlink" Target="https://shopview.testrail.io/index.php?/runs/view/415" TargetMode="External"/><Relationship Id="rId336" Type="http://schemas.openxmlformats.org/officeDocument/2006/relationships/hyperlink" Target="https://shopview.testrail.io/index.php?/cases/view/44877" TargetMode="External"/><Relationship Id="rId337" Type="http://schemas.openxmlformats.org/officeDocument/2006/relationships/hyperlink" Target="https://shopview.testrail.io/index.php?/runs/view/415" TargetMode="External"/><Relationship Id="rId338" Type="http://schemas.openxmlformats.org/officeDocument/2006/relationships/hyperlink" Target="https://shopview.testrail.io/index.php?/cases/view/55702" TargetMode="External"/><Relationship Id="rId339" Type="http://schemas.openxmlformats.org/officeDocument/2006/relationships/hyperlink" Target="https://shopview.testrail.io/index.php?/runs/view/415" TargetMode="External"/><Relationship Id="rId340" Type="http://schemas.openxmlformats.org/officeDocument/2006/relationships/hyperlink" Target="https://shopview.testrail.io/index.php?/cases/view/55703" TargetMode="External"/><Relationship Id="rId341" Type="http://schemas.openxmlformats.org/officeDocument/2006/relationships/hyperlink" Target="https://shopview.testrail.io/index.php?/runs/view/415" TargetMode="External"/><Relationship Id="rId342" Type="http://schemas.openxmlformats.org/officeDocument/2006/relationships/hyperlink" Target="https://shopview.testrail.io/index.php?/cases/view/55704" TargetMode="External"/><Relationship Id="rId343" Type="http://schemas.openxmlformats.org/officeDocument/2006/relationships/hyperlink" Target="https://shopview.testrail.io/index.php?/runs/view/415" TargetMode="External"/><Relationship Id="rId344" Type="http://schemas.openxmlformats.org/officeDocument/2006/relationships/hyperlink" Target="https://shopview.testrail.io/index.php?/cases/view/55705" TargetMode="External"/><Relationship Id="rId345" Type="http://schemas.openxmlformats.org/officeDocument/2006/relationships/hyperlink" Target="https://shopview.testrail.io/index.php?/runs/view/415" TargetMode="External"/><Relationship Id="rId346" Type="http://schemas.openxmlformats.org/officeDocument/2006/relationships/hyperlink" Target="https://shopview.testrail.io/index.php?/cases/view/44836" TargetMode="External"/><Relationship Id="rId347" Type="http://schemas.openxmlformats.org/officeDocument/2006/relationships/hyperlink" Target="https://shopview.testrail.io/index.php?/runs/view/415" TargetMode="External"/><Relationship Id="rId348" Type="http://schemas.openxmlformats.org/officeDocument/2006/relationships/hyperlink" Target="https://shopview.testrail.io/index.php?/cases/view/55706" TargetMode="External"/><Relationship Id="rId349" Type="http://schemas.openxmlformats.org/officeDocument/2006/relationships/hyperlink" Target="https://shopview.testrail.io/index.php?/runs/view/415" TargetMode="External"/><Relationship Id="rId350" Type="http://schemas.openxmlformats.org/officeDocument/2006/relationships/hyperlink" Target="https://shopview.testrail.io/index.php?/cases/view/44863" TargetMode="External"/><Relationship Id="rId351" Type="http://schemas.openxmlformats.org/officeDocument/2006/relationships/hyperlink" Target="https://shopview.testrail.io/index.php?/runs/view/415" TargetMode="External"/><Relationship Id="rId352" Type="http://schemas.openxmlformats.org/officeDocument/2006/relationships/hyperlink" Target="https://shopview.testrail.io/index.php?/cases/view/146227" TargetMode="External"/><Relationship Id="rId353" Type="http://schemas.openxmlformats.org/officeDocument/2006/relationships/hyperlink" Target="https://shopview.testrail.io/index.php?/runs/view/415" TargetMode="External"/><Relationship Id="rId354" Type="http://schemas.openxmlformats.org/officeDocument/2006/relationships/hyperlink" Target="https://shopview.testrail.io/index.php?/cases/view/146236" TargetMode="External"/><Relationship Id="rId355" Type="http://schemas.openxmlformats.org/officeDocument/2006/relationships/hyperlink" Target="https://shopview.testrail.io/index.php?/runs/view/415" TargetMode="External"/><Relationship Id="rId356" Type="http://schemas.openxmlformats.org/officeDocument/2006/relationships/hyperlink" Target="https://shopview.testrail.io/index.php?/cases/view/146248" TargetMode="External"/><Relationship Id="rId357" Type="http://schemas.openxmlformats.org/officeDocument/2006/relationships/hyperlink" Target="https://shopview.testrail.io/index.php?/runs/view/415" TargetMode="External"/><Relationship Id="rId358" Type="http://schemas.openxmlformats.org/officeDocument/2006/relationships/hyperlink" Target="https://shopview.testrail.io/index.php?/cases/view/146260" TargetMode="External"/><Relationship Id="rId359" Type="http://schemas.openxmlformats.org/officeDocument/2006/relationships/hyperlink" Target="https://shopview.testrail.io/index.php?/runs/view/415" TargetMode="External"/><Relationship Id="rId360" Type="http://schemas.openxmlformats.org/officeDocument/2006/relationships/hyperlink" Target="https://shopview.testrail.io/index.php?/cases/view/146269" TargetMode="External"/><Relationship Id="rId361" Type="http://schemas.openxmlformats.org/officeDocument/2006/relationships/hyperlink" Target="https://shopview.testrail.io/index.php?/runs/view/415" TargetMode="External"/><Relationship Id="rId362" Type="http://schemas.openxmlformats.org/officeDocument/2006/relationships/hyperlink" Target="https://shopview.testrail.io/index.php?/cases/view/146280" TargetMode="External"/><Relationship Id="rId363" Type="http://schemas.openxmlformats.org/officeDocument/2006/relationships/hyperlink" Target="https://shopview.testrail.io/index.php?/runs/view/415" TargetMode="External"/><Relationship Id="rId364" Type="http://schemas.openxmlformats.org/officeDocument/2006/relationships/hyperlink" Target="https://shopview.testrail.io/index.php?/cases/view/146237" TargetMode="External"/><Relationship Id="rId365" Type="http://schemas.openxmlformats.org/officeDocument/2006/relationships/hyperlink" Target="https://shopview.testrail.io/index.php?/runs/view/415" TargetMode="External"/><Relationship Id="rId366" Type="http://schemas.openxmlformats.org/officeDocument/2006/relationships/hyperlink" Target="https://shopview.testrail.io/index.php?/cases/view/146231" TargetMode="External"/><Relationship Id="rId367" Type="http://schemas.openxmlformats.org/officeDocument/2006/relationships/hyperlink" Target="https://shopview.testrail.io/index.php?/runs/view/415" TargetMode="External"/><Relationship Id="rId368" Type="http://schemas.openxmlformats.org/officeDocument/2006/relationships/hyperlink" Target="https://shopview.testrail.io/index.php?/cases/view/146243" TargetMode="External"/><Relationship Id="rId369" Type="http://schemas.openxmlformats.org/officeDocument/2006/relationships/hyperlink" Target="https://shopview.testrail.io/index.php?/runs/view/415" TargetMode="External"/><Relationship Id="rId370" Type="http://schemas.openxmlformats.org/officeDocument/2006/relationships/hyperlink" Target="https://shopview.testrail.io/index.php?/cases/view/146255" TargetMode="External"/><Relationship Id="rId371" Type="http://schemas.openxmlformats.org/officeDocument/2006/relationships/hyperlink" Target="https://shopview.testrail.io/index.php?/runs/view/415" TargetMode="External"/><Relationship Id="rId372" Type="http://schemas.openxmlformats.org/officeDocument/2006/relationships/hyperlink" Target="https://shopview.testrail.io/index.php?/cases/view/146283" TargetMode="External"/><Relationship Id="rId373" Type="http://schemas.openxmlformats.org/officeDocument/2006/relationships/hyperlink" Target="https://shopview.testrail.io/index.php?/runs/view/415" TargetMode="External"/><Relationship Id="rId374" Type="http://schemas.openxmlformats.org/officeDocument/2006/relationships/hyperlink" Target="https://shopview.testrail.io/index.php?/cases/view/44876" TargetMode="External"/><Relationship Id="rId375" Type="http://schemas.openxmlformats.org/officeDocument/2006/relationships/hyperlink" Target="https://shopview.testrail.io/index.php?/runs/view/415" TargetMode="External"/><Relationship Id="rId376" Type="http://schemas.openxmlformats.org/officeDocument/2006/relationships/hyperlink" Target="https://shopview.testrail.io/index.php?/cases/view/45158" TargetMode="External"/><Relationship Id="rId377" Type="http://schemas.openxmlformats.org/officeDocument/2006/relationships/hyperlink" Target="https://shopview.testrail.io/index.php?/runs/view/415" TargetMode="External"/><Relationship Id="rId378" Type="http://schemas.openxmlformats.org/officeDocument/2006/relationships/hyperlink" Target="https://shopview.testrail.io/index.php?/cases/view/44897" TargetMode="External"/><Relationship Id="rId379" Type="http://schemas.openxmlformats.org/officeDocument/2006/relationships/hyperlink" Target="https://shopview.testrail.io/index.php?/runs/view/415" TargetMode="External"/><Relationship Id="rId380" Type="http://schemas.openxmlformats.org/officeDocument/2006/relationships/hyperlink" Target="https://shopview.testrail.io/index.php?/cases/view/44829" TargetMode="External"/><Relationship Id="rId381" Type="http://schemas.openxmlformats.org/officeDocument/2006/relationships/hyperlink" Target="https://shopview.testrail.io/index.php?/runs/view/415" TargetMode="External"/><Relationship Id="rId382" Type="http://schemas.openxmlformats.org/officeDocument/2006/relationships/hyperlink" Target="https://shopview.testrail.io/index.php?/cases/view/44816" TargetMode="External"/><Relationship Id="rId383" Type="http://schemas.openxmlformats.org/officeDocument/2006/relationships/hyperlink" Target="https://shopview.testrail.io/index.php?/runs/view/415" TargetMode="External"/><Relationship Id="rId384" Type="http://schemas.openxmlformats.org/officeDocument/2006/relationships/hyperlink" Target="https://shopview.testrail.io/index.php?/cases/view/45130" TargetMode="External"/><Relationship Id="rId385" Type="http://schemas.openxmlformats.org/officeDocument/2006/relationships/hyperlink" Target="https://shopview.testrail.io/index.php?/runs/view/415" TargetMode="External"/><Relationship Id="rId386" Type="http://schemas.openxmlformats.org/officeDocument/2006/relationships/hyperlink" Target="https://shopview.testrail.io/index.php?/cases/view/44843" TargetMode="External"/><Relationship Id="rId387" Type="http://schemas.openxmlformats.org/officeDocument/2006/relationships/hyperlink" Target="https://shopview.testrail.io/index.php?/runs/view/415" TargetMode="External"/><Relationship Id="rId388" Type="http://schemas.openxmlformats.org/officeDocument/2006/relationships/hyperlink" Target="https://shopview.testrail.io/index.php?/cases/view/53579" TargetMode="External"/><Relationship Id="rId389" Type="http://schemas.openxmlformats.org/officeDocument/2006/relationships/hyperlink" Target="https://shopview.testrail.io/index.php?/runs/view/415" TargetMode="External"/><Relationship Id="rId390" Type="http://schemas.openxmlformats.org/officeDocument/2006/relationships/hyperlink" Target="https://shopview.testrail.io/index.php?/cases/view/55672" TargetMode="External"/><Relationship Id="rId391" Type="http://schemas.openxmlformats.org/officeDocument/2006/relationships/hyperlink" Target="https://shopview.testrail.io/index.php?/runs/view/415" TargetMode="External"/><Relationship Id="rId392" Type="http://schemas.openxmlformats.org/officeDocument/2006/relationships/hyperlink" Target="https://shopview.testrail.io/index.php?/cases/view/55714" TargetMode="External"/><Relationship Id="rId393" Type="http://schemas.openxmlformats.org/officeDocument/2006/relationships/hyperlink" Target="https://shopview.testrail.io/index.php?/runs/view/415" TargetMode="External"/><Relationship Id="rId394" Type="http://schemas.openxmlformats.org/officeDocument/2006/relationships/hyperlink" Target="https://shopview.testrail.io/index.php?/cases/view/44831" TargetMode="External"/><Relationship Id="rId395" Type="http://schemas.openxmlformats.org/officeDocument/2006/relationships/hyperlink" Target="https://shopview.testrail.io/index.php?/runs/view/415" TargetMode="External"/><Relationship Id="rId396" Type="http://schemas.openxmlformats.org/officeDocument/2006/relationships/hyperlink" Target="https://shopview.testrail.io/index.php?/cases/view/44832" TargetMode="External"/><Relationship Id="rId397" Type="http://schemas.openxmlformats.org/officeDocument/2006/relationships/hyperlink" Target="https://shopview.testrail.io/index.php?/runs/view/415" TargetMode="External"/><Relationship Id="rId398" Type="http://schemas.openxmlformats.org/officeDocument/2006/relationships/hyperlink" Target="https://shopview.testrail.io/index.php?/cases/view/146275" TargetMode="External"/><Relationship Id="rId399" Type="http://schemas.openxmlformats.org/officeDocument/2006/relationships/hyperlink" Target="https://shopview.testrail.io/index.php?/runs/view/415" TargetMode="External"/><Relationship Id="rId400" Type="http://schemas.openxmlformats.org/officeDocument/2006/relationships/hyperlink" Target="https://shopview.testrail.io/index.php?/cases/view/44855" TargetMode="External"/><Relationship Id="rId401" Type="http://schemas.openxmlformats.org/officeDocument/2006/relationships/hyperlink" Target="https://shopview.testrail.io/index.php?/runs/view/415" TargetMode="External"/><Relationship Id="rId402" Type="http://schemas.openxmlformats.org/officeDocument/2006/relationships/hyperlink" Target="https://shopview.testrail.io/index.php?/cases/view/44856" TargetMode="External"/><Relationship Id="rId403" Type="http://schemas.openxmlformats.org/officeDocument/2006/relationships/hyperlink" Target="https://shopview.testrail.io/index.php?/runs/view/415" TargetMode="External"/><Relationship Id="rId404" Type="http://schemas.openxmlformats.org/officeDocument/2006/relationships/hyperlink" Target="https://shopview.testrail.io/index.php?/cases/view/44817" TargetMode="External"/><Relationship Id="rId405" Type="http://schemas.openxmlformats.org/officeDocument/2006/relationships/hyperlink" Target="https://shopview.testrail.io/index.php?/runs/view/415" TargetMode="External"/><Relationship Id="rId406" Type="http://schemas.openxmlformats.org/officeDocument/2006/relationships/hyperlink" Target="https://shopview.testrail.io/index.php?/cases/view/44818" TargetMode="External"/><Relationship Id="rId407" Type="http://schemas.openxmlformats.org/officeDocument/2006/relationships/hyperlink" Target="https://shopview.testrail.io/index.php?/runs/view/415" TargetMode="External"/><Relationship Id="rId408" Type="http://schemas.openxmlformats.org/officeDocument/2006/relationships/hyperlink" Target="https://shopview.testrail.io/index.php?/cases/view/44819" TargetMode="External"/><Relationship Id="rId409" Type="http://schemas.openxmlformats.org/officeDocument/2006/relationships/hyperlink" Target="https://shopview.testrail.io/index.php?/runs/view/415" TargetMode="External"/><Relationship Id="rId410" Type="http://schemas.openxmlformats.org/officeDocument/2006/relationships/hyperlink" Target="https://shopview.testrail.io/index.php?/cases/view/44820" TargetMode="External"/><Relationship Id="rId411" Type="http://schemas.openxmlformats.org/officeDocument/2006/relationships/hyperlink" Target="https://shopview.testrail.io/index.php?/runs/view/415" TargetMode="External"/><Relationship Id="rId412" Type="http://schemas.openxmlformats.org/officeDocument/2006/relationships/hyperlink" Target="https://shopview.testrail.io/index.php?/cases/view/44821" TargetMode="External"/><Relationship Id="rId413" Type="http://schemas.openxmlformats.org/officeDocument/2006/relationships/hyperlink" Target="https://shopview.testrail.io/index.php?/runs/view/415" TargetMode="External"/><Relationship Id="rId414" Type="http://schemas.openxmlformats.org/officeDocument/2006/relationships/hyperlink" Target="https://shopview.testrail.io/index.php?/cases/view/45131" TargetMode="External"/><Relationship Id="rId415" Type="http://schemas.openxmlformats.org/officeDocument/2006/relationships/hyperlink" Target="https://shopview.testrail.io/index.php?/runs/view/415" TargetMode="External"/><Relationship Id="rId416" Type="http://schemas.openxmlformats.org/officeDocument/2006/relationships/hyperlink" Target="https://shopview.testrail.io/index.php?/cases/view/44815" TargetMode="External"/><Relationship Id="rId417" Type="http://schemas.openxmlformats.org/officeDocument/2006/relationships/hyperlink" Target="https://shopview.testrail.io/index.php?/runs/view/415" TargetMode="External"/><Relationship Id="rId418" Type="http://schemas.openxmlformats.org/officeDocument/2006/relationships/hyperlink" Target="https://shopview.testrail.io/index.php?/cases/view/44822" TargetMode="External"/><Relationship Id="rId419" Type="http://schemas.openxmlformats.org/officeDocument/2006/relationships/hyperlink" Target="https://shopview.testrail.io/index.php?/runs/view/415" TargetMode="External"/><Relationship Id="rId420" Type="http://schemas.openxmlformats.org/officeDocument/2006/relationships/hyperlink" Target="https://shopview.testrail.io/index.php?/cases/view/44823" TargetMode="External"/><Relationship Id="rId421" Type="http://schemas.openxmlformats.org/officeDocument/2006/relationships/hyperlink" Target="https://shopview.testrail.io/index.php?/runs/view/415" TargetMode="External"/><Relationship Id="rId422" Type="http://schemas.openxmlformats.org/officeDocument/2006/relationships/hyperlink" Target="https://shopview.testrail.io/index.php?/cases/view/44824" TargetMode="External"/><Relationship Id="rId423" Type="http://schemas.openxmlformats.org/officeDocument/2006/relationships/hyperlink" Target="https://shopview.testrail.io/index.php?/runs/view/415" TargetMode="External"/><Relationship Id="rId424" Type="http://schemas.openxmlformats.org/officeDocument/2006/relationships/hyperlink" Target="https://shopview.testrail.io/index.php?/cases/view/44825" TargetMode="External"/><Relationship Id="rId425" Type="http://schemas.openxmlformats.org/officeDocument/2006/relationships/hyperlink" Target="https://shopview.testrail.io/index.php?/runs/view/415" TargetMode="External"/><Relationship Id="rId426" Type="http://schemas.openxmlformats.org/officeDocument/2006/relationships/hyperlink" Target="https://shopview.testrail.io/index.php?/cases/view/44826" TargetMode="External"/><Relationship Id="rId427" Type="http://schemas.openxmlformats.org/officeDocument/2006/relationships/hyperlink" Target="https://shopview.testrail.io/index.php?/runs/view/415" TargetMode="External"/><Relationship Id="rId428" Type="http://schemas.openxmlformats.org/officeDocument/2006/relationships/hyperlink" Target="https://shopview.testrail.io/index.php?/cases/view/45129" TargetMode="External"/><Relationship Id="rId429" Type="http://schemas.openxmlformats.org/officeDocument/2006/relationships/hyperlink" Target="https://shopview.testrail.io/index.php?/runs/view/415" TargetMode="External"/><Relationship Id="rId430" Type="http://schemas.openxmlformats.org/officeDocument/2006/relationships/hyperlink" Target="https://shopview.testrail.io/index.php?/cases/view/44895" TargetMode="External"/><Relationship Id="rId431" Type="http://schemas.openxmlformats.org/officeDocument/2006/relationships/hyperlink" Target="https://shopview.testrail.io/index.php?/runs/view/415" TargetMode="External"/><Relationship Id="rId432" Type="http://schemas.openxmlformats.org/officeDocument/2006/relationships/hyperlink" Target="https://shopview.testrail.io/index.php?/cases/view/44810" TargetMode="External"/><Relationship Id="rId433" Type="http://schemas.openxmlformats.org/officeDocument/2006/relationships/hyperlink" Target="https://shopview.testrail.io/index.php?/runs/view/415" TargetMode="External"/><Relationship Id="rId434" Type="http://schemas.openxmlformats.org/officeDocument/2006/relationships/hyperlink" Target="https://shopview.testrail.io/index.php?/cases/view/44811" TargetMode="External"/><Relationship Id="rId435" Type="http://schemas.openxmlformats.org/officeDocument/2006/relationships/hyperlink" Target="https://shopview.testrail.io/index.php?/runs/view/415" TargetMode="External"/><Relationship Id="rId436"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70"/>
    <col collapsed="false" customWidth="true" hidden="false" outlineLevel="0" max="8" min="4" style="0" width="16"/>
  </cols>
  <sheetData>
    <row r="1" customFormat="false" ht="17.35" hidden="false" customHeight="false" outlineLevel="0" collapsed="false">
      <c r="A1" s="1" t="s">
        <v>0</v>
      </c>
    </row>
    <row r="3" customFormat="false" ht="15" hidden="false" customHeight="true" outlineLevel="0" collapsed="false">
      <c r="A3" s="2" t="s">
        <v>1</v>
      </c>
      <c r="B3" s="3" t="s">
        <v>2</v>
      </c>
      <c r="C3" s="3"/>
    </row>
    <row r="4" customFormat="false" ht="15" hidden="false" customHeight="true" outlineLevel="0" collapsed="false">
      <c r="A4" s="2" t="s">
        <v>3</v>
      </c>
      <c r="B4" s="3" t="s">
        <v>4</v>
      </c>
      <c r="C4" s="3"/>
    </row>
    <row r="5" customFormat="false" ht="15" hidden="false" customHeight="true" outlineLevel="0" collapsed="false">
      <c r="A5" s="2" t="s">
        <v>5</v>
      </c>
      <c r="B5" s="3" t="s">
        <v>6</v>
      </c>
      <c r="C5" s="3"/>
    </row>
    <row r="6" customFormat="false" ht="23.85" hidden="false" customHeight="true" outlineLevel="0" collapsed="false">
      <c r="A6" s="2" t="s">
        <v>7</v>
      </c>
      <c r="B6" s="3" t="s">
        <v>8</v>
      </c>
      <c r="C6" s="3"/>
    </row>
    <row r="7" customFormat="false" ht="15" hidden="false" customHeight="true" outlineLevel="0" collapsed="false">
      <c r="A7" s="2" t="s">
        <v>9</v>
      </c>
      <c r="B7" s="3" t="s">
        <v>10</v>
      </c>
      <c r="C7" s="3"/>
    </row>
    <row r="8" customFormat="false" ht="15" hidden="false" customHeight="true" outlineLevel="0" collapsed="false">
      <c r="A8" s="2" t="s">
        <v>11</v>
      </c>
      <c r="B8" s="4" t="s">
        <v>12</v>
      </c>
      <c r="C8" s="4"/>
    </row>
    <row r="10" customFormat="false" ht="15" hidden="false" customHeight="false" outlineLevel="0" collapsed="false">
      <c r="A10" s="5" t="s">
        <v>13</v>
      </c>
      <c r="B10" s="5" t="s">
        <v>14</v>
      </c>
      <c r="C10" s="5" t="s">
        <v>15</v>
      </c>
    </row>
    <row r="11" customFormat="false" ht="15" hidden="false" customHeight="false" outlineLevel="0" collapsed="false">
      <c r="A11" s="6" t="s">
        <v>16</v>
      </c>
      <c r="B11" s="7" t="n">
        <f aca="false">COUNTIF('All results'!$E:$E,A11)</f>
        <v>218</v>
      </c>
      <c r="C11" s="8" t="s">
        <v>17</v>
      </c>
    </row>
    <row r="12" customFormat="false" ht="15" hidden="false" customHeight="false" outlineLevel="0" collapsed="false">
      <c r="A12" s="9" t="s">
        <v>18</v>
      </c>
      <c r="B12" s="7" t="n">
        <f aca="false">COUNTIF('All results'!$E:$E,A12)</f>
        <v>7</v>
      </c>
      <c r="C12" s="8" t="s">
        <v>19</v>
      </c>
    </row>
    <row r="13" customFormat="false" ht="15" hidden="false" customHeight="false" outlineLevel="0" collapsed="false">
      <c r="A13" s="10" t="s">
        <v>20</v>
      </c>
      <c r="B13" s="7" t="n">
        <f aca="false">COUNTIF('All results'!$E:$E,A13)</f>
        <v>9</v>
      </c>
      <c r="C13" s="8" t="s">
        <v>21</v>
      </c>
    </row>
    <row r="14" customFormat="false" ht="15" hidden="false" customHeight="false" outlineLevel="0" collapsed="false">
      <c r="A14" s="11" t="s">
        <v>22</v>
      </c>
      <c r="B14" s="7" t="n">
        <f aca="false">COUNTIF('All results'!$E:$E,A14)</f>
        <v>18</v>
      </c>
      <c r="C14" s="8" t="s">
        <v>23</v>
      </c>
    </row>
    <row r="15" customFormat="false" ht="15" hidden="false" customHeight="false" outlineLevel="0" collapsed="false">
      <c r="A15" s="10" t="s">
        <v>24</v>
      </c>
      <c r="B15" s="7" t="n">
        <f aca="false">COUNTIF('All results'!$E:$E,A15)</f>
        <v>21</v>
      </c>
      <c r="C15" s="8" t="s">
        <v>25</v>
      </c>
    </row>
    <row r="16" customFormat="false" ht="15" hidden="false" customHeight="false" outlineLevel="0" collapsed="false">
      <c r="A16" s="12" t="s">
        <v>26</v>
      </c>
      <c r="B16" s="7" t="n">
        <f aca="false">COUNTIF('All results'!$E:$E,A16)</f>
        <v>1</v>
      </c>
      <c r="C16" s="8" t="s">
        <v>27</v>
      </c>
    </row>
    <row r="17" customFormat="false" ht="15" hidden="false" customHeight="false" outlineLevel="0" collapsed="false">
      <c r="A17" s="13" t="s">
        <v>28</v>
      </c>
      <c r="B17" s="7" t="n">
        <f aca="false">COUNTIF('All results'!$E:$E,A17)</f>
        <v>64</v>
      </c>
      <c r="C17" s="8" t="s">
        <v>29</v>
      </c>
    </row>
    <row r="18" customFormat="false" ht="15" hidden="false" customHeight="false" outlineLevel="0" collapsed="false">
      <c r="A18" s="2" t="s">
        <v>30</v>
      </c>
      <c r="B18" s="2" t="n">
        <f aca="false">SUM(B11:B17)</f>
        <v>338</v>
      </c>
      <c r="C18" s="7" t="s">
        <v>31</v>
      </c>
    </row>
    <row r="19" customFormat="false" ht="15" hidden="false" customHeight="false" outlineLevel="0" collapsed="false">
      <c r="A19" s="8" t="s">
        <v>32</v>
      </c>
      <c r="B19" s="7" t="n">
        <f aca="false">COUNTIFS('All results'!$E:$E,"Failed — our test's fault",'All results'!$N:$N,"Passed")</f>
        <v>18</v>
      </c>
      <c r="C19" s="8" t="s">
        <v>33</v>
      </c>
    </row>
    <row r="21" customFormat="false" ht="15" hidden="false" customHeight="false" outlineLevel="0" collapsed="false">
      <c r="A21" s="5" t="s">
        <v>34</v>
      </c>
      <c r="B21" s="5" t="s">
        <v>14</v>
      </c>
      <c r="C21" s="14"/>
    </row>
    <row r="22" customFormat="false" ht="23.85" hidden="false" customHeight="false" outlineLevel="0" collapsed="false">
      <c r="A22" s="8" t="s">
        <v>35</v>
      </c>
      <c r="B22" s="7" t="n">
        <f aca="false">COUNTIF('All results'!$F:$F,A22)</f>
        <v>0</v>
      </c>
    </row>
    <row r="23" customFormat="false" ht="15" hidden="false" customHeight="false" outlineLevel="0" collapsed="false">
      <c r="A23" s="8" t="s">
        <v>36</v>
      </c>
      <c r="B23" s="7" t="n">
        <f aca="false">COUNTIF('All results'!$F:$F,A23)</f>
        <v>0</v>
      </c>
    </row>
    <row r="24" customFormat="false" ht="23.85" hidden="false" customHeight="false" outlineLevel="0" collapsed="false">
      <c r="A24" s="8" t="s">
        <v>37</v>
      </c>
      <c r="B24" s="7" t="n">
        <f aca="false">COUNTIF('All results'!$F:$F,A24)</f>
        <v>0</v>
      </c>
    </row>
    <row r="25" customFormat="false" ht="15" hidden="false" customHeight="false" outlineLevel="0" collapsed="false">
      <c r="A25" s="8" t="s">
        <v>38</v>
      </c>
      <c r="B25" s="7" t="n">
        <f aca="false">COUNTIF('All results'!$F:$F,A25)</f>
        <v>0</v>
      </c>
    </row>
    <row r="26" customFormat="false" ht="15" hidden="false" customHeight="false" outlineLevel="0" collapsed="false">
      <c r="A26" s="8" t="s">
        <v>39</v>
      </c>
      <c r="B26" s="7" t="n">
        <f aca="false">COUNTIF('All results'!$F:$F,A26)</f>
        <v>0</v>
      </c>
    </row>
    <row r="27" customFormat="false" ht="23.85" hidden="false" customHeight="false" outlineLevel="0" collapsed="false">
      <c r="A27" s="8" t="s">
        <v>40</v>
      </c>
      <c r="B27" s="7" t="n">
        <f aca="false">COUNTIF('All results'!$F:$F,A27)</f>
        <v>0</v>
      </c>
    </row>
    <row r="28" customFormat="false" ht="23.85" hidden="false" customHeight="false" outlineLevel="0" collapsed="false">
      <c r="A28" s="8" t="s">
        <v>41</v>
      </c>
      <c r="B28" s="7" t="n">
        <f aca="false">COUNTIF('All results'!$F:$F,A28)</f>
        <v>0</v>
      </c>
    </row>
    <row r="29" customFormat="false" ht="23.85" hidden="false" customHeight="false" outlineLevel="0" collapsed="false">
      <c r="A29" s="8" t="s">
        <v>42</v>
      </c>
      <c r="B29" s="7" t="n">
        <f aca="false">COUNTIF('All results'!$F:$F,A29)</f>
        <v>0</v>
      </c>
    </row>
    <row r="30" customFormat="false" ht="23.85" hidden="false" customHeight="false" outlineLevel="0" collapsed="false">
      <c r="A30" s="8" t="s">
        <v>43</v>
      </c>
      <c r="B30" s="7" t="n">
        <f aca="false">COUNTIF('All results'!$F:$F,A30)</f>
        <v>0</v>
      </c>
    </row>
    <row r="31" customFormat="false" ht="35.05" hidden="false" customHeight="false" outlineLevel="0" collapsed="false">
      <c r="A31" s="8" t="s">
        <v>44</v>
      </c>
      <c r="B31" s="7" t="n">
        <f aca="false">COUNTIF('All results'!$F:$F,A31)</f>
        <v>0</v>
      </c>
    </row>
    <row r="32" customFormat="false" ht="23.85" hidden="false" customHeight="false" outlineLevel="0" collapsed="false">
      <c r="A32" s="8" t="s">
        <v>45</v>
      </c>
      <c r="B32" s="7" t="n">
        <f aca="false">COUNTIF('All results'!$F:$F,A32)</f>
        <v>0</v>
      </c>
    </row>
    <row r="33" customFormat="false" ht="23.85" hidden="false" customHeight="false" outlineLevel="0" collapsed="false">
      <c r="A33" s="8" t="s">
        <v>46</v>
      </c>
      <c r="B33" s="7" t="n">
        <f aca="false">COUNTIF('All results'!$F:$F,A33)</f>
        <v>0</v>
      </c>
    </row>
    <row r="34" customFormat="false" ht="23.85" hidden="false" customHeight="false" outlineLevel="0" collapsed="false">
      <c r="A34" s="8" t="s">
        <v>47</v>
      </c>
      <c r="B34" s="7" t="n">
        <f aca="false">COUNTIF('All results'!$F:$F,A34)</f>
        <v>0</v>
      </c>
    </row>
    <row r="35" customFormat="false" ht="23.85" hidden="false" customHeight="false" outlineLevel="0" collapsed="false">
      <c r="A35" s="8" t="s">
        <v>48</v>
      </c>
      <c r="B35" s="7" t="n">
        <f aca="false">COUNTIF('All results'!$F:$F,A35)</f>
        <v>0</v>
      </c>
    </row>
    <row r="36" customFormat="false" ht="23.85" hidden="false" customHeight="false" outlineLevel="0" collapsed="false">
      <c r="A36" s="8" t="s">
        <v>49</v>
      </c>
      <c r="B36" s="7" t="n">
        <f aca="false">COUNTIF('All results'!$F:$F,A36)</f>
        <v>0</v>
      </c>
    </row>
    <row r="39" customFormat="false" ht="15" hidden="false" customHeight="false" outlineLevel="0" collapsed="false">
      <c r="A39" s="5" t="s">
        <v>50</v>
      </c>
      <c r="B39" s="5" t="s">
        <v>16</v>
      </c>
      <c r="C39" s="5" t="s">
        <v>51</v>
      </c>
      <c r="D39" s="5" t="s">
        <v>52</v>
      </c>
      <c r="E39" s="5" t="s">
        <v>53</v>
      </c>
      <c r="F39" s="5" t="s">
        <v>54</v>
      </c>
      <c r="G39" s="5" t="s">
        <v>55</v>
      </c>
      <c r="H39" s="5" t="s">
        <v>28</v>
      </c>
    </row>
    <row r="40" customFormat="false" ht="15" hidden="false" customHeight="false" outlineLevel="0" collapsed="false">
      <c r="A40" s="7" t="s">
        <v>56</v>
      </c>
      <c r="B40" s="7" t="n">
        <f aca="false">COUNTIFS('All results'!$K:$K,$A40,'All results'!$E:$E,"Passed")</f>
        <v>6</v>
      </c>
      <c r="C40" s="7" t="n">
        <f aca="false">COUNTIFS('All results'!$K:$K,$A40,'All results'!$E:$E,"Failed — possible new problem")</f>
        <v>0</v>
      </c>
      <c r="D40" s="7" t="n">
        <f aca="false">COUNTIFS('All results'!$K:$K,$A40,'All results'!$E:$E,"Failed — already reported")</f>
        <v>0</v>
      </c>
      <c r="E40" s="7" t="n">
        <f aca="false">COUNTIFS('All results'!$K:$K,$A40,'All results'!$E:$E,"Failed — our test's fault")</f>
        <v>0</v>
      </c>
      <c r="F40" s="7" t="n">
        <f aca="false">COUNTIFS('All results'!$K:$K,$A40,'All results'!$E:$E,"Known fault — still there")</f>
        <v>0</v>
      </c>
      <c r="G40" s="7" t="n">
        <f aca="false">COUNTIFS('All results'!$K:$K,$A40,'All results'!$E:$E,"Known fault — did not reproduce")</f>
        <v>0</v>
      </c>
      <c r="H40" s="7" t="n">
        <f aca="false">COUNTIFS('All results'!$K:$K,$A40,'All results'!$E:$E,"Stood down")</f>
        <v>1</v>
      </c>
    </row>
    <row r="41" customFormat="false" ht="15" hidden="false" customHeight="false" outlineLevel="0" collapsed="false">
      <c r="A41" s="7" t="s">
        <v>57</v>
      </c>
      <c r="B41" s="7" t="n">
        <f aca="false">COUNTIFS('All results'!$K:$K,$A41,'All results'!$E:$E,"Passed")</f>
        <v>5</v>
      </c>
      <c r="C41" s="7" t="n">
        <f aca="false">COUNTIFS('All results'!$K:$K,$A41,'All results'!$E:$E,"Failed — possible new problem")</f>
        <v>1</v>
      </c>
      <c r="D41" s="7" t="n">
        <f aca="false">COUNTIFS('All results'!$K:$K,$A41,'All results'!$E:$E,"Failed — already reported")</f>
        <v>7</v>
      </c>
      <c r="E41" s="7" t="n">
        <f aca="false">COUNTIFS('All results'!$K:$K,$A41,'All results'!$E:$E,"Failed — our test's fault")</f>
        <v>0</v>
      </c>
      <c r="F41" s="7" t="n">
        <f aca="false">COUNTIFS('All results'!$K:$K,$A41,'All results'!$E:$E,"Known fault — still there")</f>
        <v>15</v>
      </c>
      <c r="G41" s="7" t="n">
        <f aca="false">COUNTIFS('All results'!$K:$K,$A41,'All results'!$E:$E,"Known fault — did not reproduce")</f>
        <v>0</v>
      </c>
      <c r="H41" s="7" t="n">
        <f aca="false">COUNTIFS('All results'!$K:$K,$A41,'All results'!$E:$E,"Stood down")</f>
        <v>0</v>
      </c>
    </row>
    <row r="42" customFormat="false" ht="15" hidden="false" customHeight="false" outlineLevel="0" collapsed="false">
      <c r="A42" s="7" t="s">
        <v>58</v>
      </c>
      <c r="B42" s="7" t="n">
        <f aca="false">COUNTIFS('All results'!$K:$K,$A42,'All results'!$E:$E,"Passed")</f>
        <v>3</v>
      </c>
      <c r="C42" s="7" t="n">
        <f aca="false">COUNTIFS('All results'!$K:$K,$A42,'All results'!$E:$E,"Failed — possible new problem")</f>
        <v>0</v>
      </c>
      <c r="D42" s="7" t="n">
        <f aca="false">COUNTIFS('All results'!$K:$K,$A42,'All results'!$E:$E,"Failed — already reported")</f>
        <v>2</v>
      </c>
      <c r="E42" s="7" t="n">
        <f aca="false">COUNTIFS('All results'!$K:$K,$A42,'All results'!$E:$E,"Failed — our test's fault")</f>
        <v>0</v>
      </c>
      <c r="F42" s="7" t="n">
        <f aca="false">COUNTIFS('All results'!$K:$K,$A42,'All results'!$E:$E,"Known fault — still there")</f>
        <v>0</v>
      </c>
      <c r="G42" s="7" t="n">
        <f aca="false">COUNTIFS('All results'!$K:$K,$A42,'All results'!$E:$E,"Known fault — did not reproduce")</f>
        <v>0</v>
      </c>
      <c r="H42" s="7" t="n">
        <f aca="false">COUNTIFS('All results'!$K:$K,$A42,'All results'!$E:$E,"Stood down")</f>
        <v>1</v>
      </c>
    </row>
    <row r="43" customFormat="false" ht="15" hidden="false" customHeight="false" outlineLevel="0" collapsed="false">
      <c r="A43" s="7" t="s">
        <v>59</v>
      </c>
      <c r="B43" s="7" t="n">
        <f aca="false">COUNTIFS('All results'!$K:$K,$A43,'All results'!$E:$E,"Passed")</f>
        <v>28</v>
      </c>
      <c r="C43" s="7" t="n">
        <f aca="false">COUNTIFS('All results'!$K:$K,$A43,'All results'!$E:$E,"Failed — possible new problem")</f>
        <v>4</v>
      </c>
      <c r="D43" s="7" t="n">
        <f aca="false">COUNTIFS('All results'!$K:$K,$A43,'All results'!$E:$E,"Failed — already reported")</f>
        <v>0</v>
      </c>
      <c r="E43" s="7" t="n">
        <f aca="false">COUNTIFS('All results'!$K:$K,$A43,'All results'!$E:$E,"Failed — our test's fault")</f>
        <v>4</v>
      </c>
      <c r="F43" s="7" t="n">
        <f aca="false">COUNTIFS('All results'!$K:$K,$A43,'All results'!$E:$E,"Known fault — still there")</f>
        <v>0</v>
      </c>
      <c r="G43" s="7" t="n">
        <f aca="false">COUNTIFS('All results'!$K:$K,$A43,'All results'!$E:$E,"Known fault — did not reproduce")</f>
        <v>0</v>
      </c>
      <c r="H43" s="7" t="n">
        <f aca="false">COUNTIFS('All results'!$K:$K,$A43,'All results'!$E:$E,"Stood down")</f>
        <v>6</v>
      </c>
    </row>
    <row r="44" customFormat="false" ht="15" hidden="false" customHeight="false" outlineLevel="0" collapsed="false">
      <c r="A44" s="7" t="s">
        <v>60</v>
      </c>
      <c r="B44" s="7" t="n">
        <f aca="false">COUNTIFS('All results'!$K:$K,$A44,'All results'!$E:$E,"Passed")</f>
        <v>19</v>
      </c>
      <c r="C44" s="7" t="n">
        <f aca="false">COUNTIFS('All results'!$K:$K,$A44,'All results'!$E:$E,"Failed — possible new problem")</f>
        <v>0</v>
      </c>
      <c r="D44" s="7" t="n">
        <f aca="false">COUNTIFS('All results'!$K:$K,$A44,'All results'!$E:$E,"Failed — already reported")</f>
        <v>0</v>
      </c>
      <c r="E44" s="7" t="n">
        <f aca="false">COUNTIFS('All results'!$K:$K,$A44,'All results'!$E:$E,"Failed — our test's fault")</f>
        <v>1</v>
      </c>
      <c r="F44" s="7" t="n">
        <f aca="false">COUNTIFS('All results'!$K:$K,$A44,'All results'!$E:$E,"Known fault — still there")</f>
        <v>0</v>
      </c>
      <c r="G44" s="7" t="n">
        <f aca="false">COUNTIFS('All results'!$K:$K,$A44,'All results'!$E:$E,"Known fault — did not reproduce")</f>
        <v>1</v>
      </c>
      <c r="H44" s="7" t="n">
        <f aca="false">COUNTIFS('All results'!$K:$K,$A44,'All results'!$E:$E,"Stood down")</f>
        <v>1</v>
      </c>
    </row>
    <row r="45" customFormat="false" ht="15" hidden="false" customHeight="false" outlineLevel="0" collapsed="false">
      <c r="A45" s="7" t="s">
        <v>61</v>
      </c>
      <c r="B45" s="7" t="n">
        <f aca="false">COUNTIFS('All results'!$K:$K,$A45,'All results'!$E:$E,"Passed")</f>
        <v>10</v>
      </c>
      <c r="C45" s="7" t="n">
        <f aca="false">COUNTIFS('All results'!$K:$K,$A45,'All results'!$E:$E,"Failed — possible new problem")</f>
        <v>0</v>
      </c>
      <c r="D45" s="7" t="n">
        <f aca="false">COUNTIFS('All results'!$K:$K,$A45,'All results'!$E:$E,"Failed — already reported")</f>
        <v>0</v>
      </c>
      <c r="E45" s="7" t="n">
        <f aca="false">COUNTIFS('All results'!$K:$K,$A45,'All results'!$E:$E,"Failed — our test's fault")</f>
        <v>1</v>
      </c>
      <c r="F45" s="7" t="n">
        <f aca="false">COUNTIFS('All results'!$K:$K,$A45,'All results'!$E:$E,"Known fault — still there")</f>
        <v>0</v>
      </c>
      <c r="G45" s="7" t="n">
        <f aca="false">COUNTIFS('All results'!$K:$K,$A45,'All results'!$E:$E,"Known fault — did not reproduce")</f>
        <v>0</v>
      </c>
      <c r="H45" s="7" t="n">
        <f aca="false">COUNTIFS('All results'!$K:$K,$A45,'All results'!$E:$E,"Stood down")</f>
        <v>0</v>
      </c>
    </row>
    <row r="46" customFormat="false" ht="15" hidden="false" customHeight="false" outlineLevel="0" collapsed="false">
      <c r="A46" s="7" t="s">
        <v>62</v>
      </c>
      <c r="B46" s="7" t="n">
        <f aca="false">COUNTIFS('All results'!$K:$K,$A46,'All results'!$E:$E,"Passed")</f>
        <v>1</v>
      </c>
      <c r="C46" s="7" t="n">
        <f aca="false">COUNTIFS('All results'!$K:$K,$A46,'All results'!$E:$E,"Failed — possible new problem")</f>
        <v>0</v>
      </c>
      <c r="D46" s="7" t="n">
        <f aca="false">COUNTIFS('All results'!$K:$K,$A46,'All results'!$E:$E,"Failed — already reported")</f>
        <v>0</v>
      </c>
      <c r="E46" s="7" t="n">
        <f aca="false">COUNTIFS('All results'!$K:$K,$A46,'All results'!$E:$E,"Failed — our test's fault")</f>
        <v>5</v>
      </c>
      <c r="F46" s="7" t="n">
        <f aca="false">COUNTIFS('All results'!$K:$K,$A46,'All results'!$E:$E,"Known fault — still there")</f>
        <v>0</v>
      </c>
      <c r="G46" s="7" t="n">
        <f aca="false">COUNTIFS('All results'!$K:$K,$A46,'All results'!$E:$E,"Known fault — did not reproduce")</f>
        <v>0</v>
      </c>
      <c r="H46" s="7" t="n">
        <f aca="false">COUNTIFS('All results'!$K:$K,$A46,'All results'!$E:$E,"Stood down")</f>
        <v>0</v>
      </c>
    </row>
    <row r="47" customFormat="false" ht="15" hidden="false" customHeight="false" outlineLevel="0" collapsed="false">
      <c r="A47" s="7" t="s">
        <v>63</v>
      </c>
      <c r="B47" s="7" t="n">
        <f aca="false">COUNTIFS('All results'!$K:$K,$A47,'All results'!$E:$E,"Passed")</f>
        <v>0</v>
      </c>
      <c r="C47" s="7" t="n">
        <f aca="false">COUNTIFS('All results'!$K:$K,$A47,'All results'!$E:$E,"Failed — possible new problem")</f>
        <v>1</v>
      </c>
      <c r="D47" s="7" t="n">
        <f aca="false">COUNTIFS('All results'!$K:$K,$A47,'All results'!$E:$E,"Failed — already reported")</f>
        <v>0</v>
      </c>
      <c r="E47" s="7" t="n">
        <f aca="false">COUNTIFS('All results'!$K:$K,$A47,'All results'!$E:$E,"Failed — our test's fault")</f>
        <v>1</v>
      </c>
      <c r="F47" s="7" t="n">
        <f aca="false">COUNTIFS('All results'!$K:$K,$A47,'All results'!$E:$E,"Known fault — still there")</f>
        <v>2</v>
      </c>
      <c r="G47" s="7" t="n">
        <f aca="false">COUNTIFS('All results'!$K:$K,$A47,'All results'!$E:$E,"Known fault — did not reproduce")</f>
        <v>0</v>
      </c>
      <c r="H47" s="7" t="n">
        <f aca="false">COUNTIFS('All results'!$K:$K,$A47,'All results'!$E:$E,"Stood down")</f>
        <v>1</v>
      </c>
    </row>
    <row r="48" customFormat="false" ht="15" hidden="false" customHeight="false" outlineLevel="0" collapsed="false">
      <c r="A48" s="7" t="s">
        <v>64</v>
      </c>
      <c r="B48" s="7" t="n">
        <f aca="false">COUNTIFS('All results'!$K:$K,$A48,'All results'!$E:$E,"Passed")</f>
        <v>10</v>
      </c>
      <c r="C48" s="7" t="n">
        <f aca="false">COUNTIFS('All results'!$K:$K,$A48,'All results'!$E:$E,"Failed — possible new problem")</f>
        <v>1</v>
      </c>
      <c r="D48" s="7" t="n">
        <f aca="false">COUNTIFS('All results'!$K:$K,$A48,'All results'!$E:$E,"Failed — already reported")</f>
        <v>0</v>
      </c>
      <c r="E48" s="7" t="n">
        <f aca="false">COUNTIFS('All results'!$K:$K,$A48,'All results'!$E:$E,"Failed — our test's fault")</f>
        <v>0</v>
      </c>
      <c r="F48" s="7" t="n">
        <f aca="false">COUNTIFS('All results'!$K:$K,$A48,'All results'!$E:$E,"Known fault — still there")</f>
        <v>0</v>
      </c>
      <c r="G48" s="7" t="n">
        <f aca="false">COUNTIFS('All results'!$K:$K,$A48,'All results'!$E:$E,"Known fault — did not reproduce")</f>
        <v>0</v>
      </c>
      <c r="H48" s="7" t="n">
        <f aca="false">COUNTIFS('All results'!$K:$K,$A48,'All results'!$E:$E,"Stood down")</f>
        <v>9</v>
      </c>
    </row>
    <row r="49" customFormat="false" ht="15" hidden="false" customHeight="false" outlineLevel="0" collapsed="false">
      <c r="A49" s="7" t="s">
        <v>65</v>
      </c>
      <c r="B49" s="7" t="n">
        <f aca="false">COUNTIFS('All results'!$K:$K,$A49,'All results'!$E:$E,"Passed")</f>
        <v>13</v>
      </c>
      <c r="C49" s="7" t="n">
        <f aca="false">COUNTIFS('All results'!$K:$K,$A49,'All results'!$E:$E,"Failed — possible new problem")</f>
        <v>0</v>
      </c>
      <c r="D49" s="7" t="n">
        <f aca="false">COUNTIFS('All results'!$K:$K,$A49,'All results'!$E:$E,"Failed — already reported")</f>
        <v>0</v>
      </c>
      <c r="E49" s="7" t="n">
        <f aca="false">COUNTIFS('All results'!$K:$K,$A49,'All results'!$E:$E,"Failed — our test's fault")</f>
        <v>0</v>
      </c>
      <c r="F49" s="7" t="n">
        <f aca="false">COUNTIFS('All results'!$K:$K,$A49,'All results'!$E:$E,"Known fault — still there")</f>
        <v>3</v>
      </c>
      <c r="G49" s="7" t="n">
        <f aca="false">COUNTIFS('All results'!$K:$K,$A49,'All results'!$E:$E,"Known fault — did not reproduce")</f>
        <v>0</v>
      </c>
      <c r="H49" s="7" t="n">
        <f aca="false">COUNTIFS('All results'!$K:$K,$A49,'All results'!$E:$E,"Stood down")</f>
        <v>10</v>
      </c>
    </row>
    <row r="50" customFormat="false" ht="15" hidden="false" customHeight="false" outlineLevel="0" collapsed="false">
      <c r="A50" s="7" t="s">
        <v>66</v>
      </c>
      <c r="B50" s="7" t="n">
        <f aca="false">COUNTIFS('All results'!$K:$K,$A50,'All results'!$E:$E,"Passed")</f>
        <v>10</v>
      </c>
      <c r="C50" s="7" t="n">
        <f aca="false">COUNTIFS('All results'!$K:$K,$A50,'All results'!$E:$E,"Failed — possible new problem")</f>
        <v>0</v>
      </c>
      <c r="D50" s="7" t="n">
        <f aca="false">COUNTIFS('All results'!$K:$K,$A50,'All results'!$E:$E,"Failed — already reported")</f>
        <v>0</v>
      </c>
      <c r="E50" s="7" t="n">
        <f aca="false">COUNTIFS('All results'!$K:$K,$A50,'All results'!$E:$E,"Failed — our test's fault")</f>
        <v>0</v>
      </c>
      <c r="F50" s="7" t="n">
        <f aca="false">COUNTIFS('All results'!$K:$K,$A50,'All results'!$E:$E,"Known fault — still there")</f>
        <v>1</v>
      </c>
      <c r="G50" s="7" t="n">
        <f aca="false">COUNTIFS('All results'!$K:$K,$A50,'All results'!$E:$E,"Known fault — did not reproduce")</f>
        <v>0</v>
      </c>
      <c r="H50" s="7" t="n">
        <f aca="false">COUNTIFS('All results'!$K:$K,$A50,'All results'!$E:$E,"Stood down")</f>
        <v>0</v>
      </c>
    </row>
    <row r="51" customFormat="false" ht="15" hidden="false" customHeight="false" outlineLevel="0" collapsed="false">
      <c r="A51" s="7" t="s">
        <v>67</v>
      </c>
      <c r="B51" s="7" t="n">
        <f aca="false">COUNTIFS('All results'!$K:$K,$A51,'All results'!$E:$E,"Passed")</f>
        <v>13</v>
      </c>
      <c r="C51" s="7" t="n">
        <f aca="false">COUNTIFS('All results'!$K:$K,$A51,'All results'!$E:$E,"Failed — possible new problem")</f>
        <v>0</v>
      </c>
      <c r="D51" s="7" t="n">
        <f aca="false">COUNTIFS('All results'!$K:$K,$A51,'All results'!$E:$E,"Failed — already reported")</f>
        <v>0</v>
      </c>
      <c r="E51" s="7" t="n">
        <f aca="false">COUNTIFS('All results'!$K:$K,$A51,'All results'!$E:$E,"Failed — our test's fault")</f>
        <v>0</v>
      </c>
      <c r="F51" s="7" t="n">
        <f aca="false">COUNTIFS('All results'!$K:$K,$A51,'All results'!$E:$E,"Known fault — still there")</f>
        <v>0</v>
      </c>
      <c r="G51" s="7" t="n">
        <f aca="false">COUNTIFS('All results'!$K:$K,$A51,'All results'!$E:$E,"Known fault — did not reproduce")</f>
        <v>0</v>
      </c>
      <c r="H51" s="7" t="n">
        <f aca="false">COUNTIFS('All results'!$K:$K,$A51,'All results'!$E:$E,"Stood down")</f>
        <v>7</v>
      </c>
    </row>
    <row r="52" customFormat="false" ht="15" hidden="false" customHeight="false" outlineLevel="0" collapsed="false">
      <c r="A52" s="7" t="s">
        <v>68</v>
      </c>
      <c r="B52" s="7" t="n">
        <f aca="false">COUNTIFS('All results'!$K:$K,$A52,'All results'!$E:$E,"Passed")</f>
        <v>5</v>
      </c>
      <c r="C52" s="7" t="n">
        <f aca="false">COUNTIFS('All results'!$K:$K,$A52,'All results'!$E:$E,"Failed — possible new problem")</f>
        <v>0</v>
      </c>
      <c r="D52" s="7" t="n">
        <f aca="false">COUNTIFS('All results'!$K:$K,$A52,'All results'!$E:$E,"Failed — already reported")</f>
        <v>0</v>
      </c>
      <c r="E52" s="7" t="n">
        <f aca="false">COUNTIFS('All results'!$K:$K,$A52,'All results'!$E:$E,"Failed — our test's fault")</f>
        <v>0</v>
      </c>
      <c r="F52" s="7" t="n">
        <f aca="false">COUNTIFS('All results'!$K:$K,$A52,'All results'!$E:$E,"Known fault — still there")</f>
        <v>0</v>
      </c>
      <c r="G52" s="7" t="n">
        <f aca="false">COUNTIFS('All results'!$K:$K,$A52,'All results'!$E:$E,"Known fault — did not reproduce")</f>
        <v>0</v>
      </c>
      <c r="H52" s="7" t="n">
        <f aca="false">COUNTIFS('All results'!$K:$K,$A52,'All results'!$E:$E,"Stood down")</f>
        <v>6</v>
      </c>
    </row>
    <row r="53" customFormat="false" ht="15" hidden="false" customHeight="false" outlineLevel="0" collapsed="false">
      <c r="A53" s="7" t="s">
        <v>69</v>
      </c>
      <c r="B53" s="7" t="n">
        <f aca="false">COUNTIFS('All results'!$K:$K,$A53,'All results'!$E:$E,"Passed")</f>
        <v>12</v>
      </c>
      <c r="C53" s="7" t="n">
        <f aca="false">COUNTIFS('All results'!$K:$K,$A53,'All results'!$E:$E,"Failed — possible new problem")</f>
        <v>0</v>
      </c>
      <c r="D53" s="7" t="n">
        <f aca="false">COUNTIFS('All results'!$K:$K,$A53,'All results'!$E:$E,"Failed — already reported")</f>
        <v>0</v>
      </c>
      <c r="E53" s="7" t="n">
        <f aca="false">COUNTIFS('All results'!$K:$K,$A53,'All results'!$E:$E,"Failed — our test's fault")</f>
        <v>6</v>
      </c>
      <c r="F53" s="7" t="n">
        <f aca="false">COUNTIFS('All results'!$K:$K,$A53,'All results'!$E:$E,"Known fault — still there")</f>
        <v>0</v>
      </c>
      <c r="G53" s="7" t="n">
        <f aca="false">COUNTIFS('All results'!$K:$K,$A53,'All results'!$E:$E,"Known fault — did not reproduce")</f>
        <v>0</v>
      </c>
      <c r="H53" s="7" t="n">
        <f aca="false">COUNTIFS('All results'!$K:$K,$A53,'All results'!$E:$E,"Stood down")</f>
        <v>5</v>
      </c>
    </row>
    <row r="54" customFormat="false" ht="15" hidden="false" customHeight="false" outlineLevel="0" collapsed="false">
      <c r="A54" s="7" t="s">
        <v>70</v>
      </c>
      <c r="B54" s="7" t="n">
        <f aca="false">COUNTIFS('All results'!$K:$K,$A54,'All results'!$E:$E,"Passed")</f>
        <v>7</v>
      </c>
      <c r="C54" s="7" t="n">
        <f aca="false">COUNTIFS('All results'!$K:$K,$A54,'All results'!$E:$E,"Failed — possible new problem")</f>
        <v>0</v>
      </c>
      <c r="D54" s="7" t="n">
        <f aca="false">COUNTIFS('All results'!$K:$K,$A54,'All results'!$E:$E,"Failed — already reported")</f>
        <v>0</v>
      </c>
      <c r="E54" s="7" t="n">
        <f aca="false">COUNTIFS('All results'!$K:$K,$A54,'All results'!$E:$E,"Failed — our test's fault")</f>
        <v>0</v>
      </c>
      <c r="F54" s="7" t="n">
        <f aca="false">COUNTIFS('All results'!$K:$K,$A54,'All results'!$E:$E,"Known fault — still there")</f>
        <v>0</v>
      </c>
      <c r="G54" s="7" t="n">
        <f aca="false">COUNTIFS('All results'!$K:$K,$A54,'All results'!$E:$E,"Known fault — did not reproduce")</f>
        <v>0</v>
      </c>
      <c r="H54" s="7" t="n">
        <f aca="false">COUNTIFS('All results'!$K:$K,$A54,'All results'!$E:$E,"Stood down")</f>
        <v>0</v>
      </c>
    </row>
    <row r="55" customFormat="false" ht="15" hidden="false" customHeight="false" outlineLevel="0" collapsed="false">
      <c r="A55" s="7" t="s">
        <v>71</v>
      </c>
      <c r="B55" s="7" t="n">
        <f aca="false">COUNTIFS('All results'!$K:$K,$A55,'All results'!$E:$E,"Passed")</f>
        <v>17</v>
      </c>
      <c r="C55" s="7" t="n">
        <f aca="false">COUNTIFS('All results'!$K:$K,$A55,'All results'!$E:$E,"Failed — possible new problem")</f>
        <v>0</v>
      </c>
      <c r="D55" s="7" t="n">
        <f aca="false">COUNTIFS('All results'!$K:$K,$A55,'All results'!$E:$E,"Failed — already reported")</f>
        <v>0</v>
      </c>
      <c r="E55" s="7" t="n">
        <f aca="false">COUNTIFS('All results'!$K:$K,$A55,'All results'!$E:$E,"Failed — our test's fault")</f>
        <v>0</v>
      </c>
      <c r="F55" s="7" t="n">
        <f aca="false">COUNTIFS('All results'!$K:$K,$A55,'All results'!$E:$E,"Known fault — still there")</f>
        <v>0</v>
      </c>
      <c r="G55" s="7" t="n">
        <f aca="false">COUNTIFS('All results'!$K:$K,$A55,'All results'!$E:$E,"Known fault — did not reproduce")</f>
        <v>0</v>
      </c>
      <c r="H55" s="7" t="n">
        <f aca="false">COUNTIFS('All results'!$K:$K,$A55,'All results'!$E:$E,"Stood down")</f>
        <v>4</v>
      </c>
    </row>
    <row r="56" customFormat="false" ht="15" hidden="false" customHeight="false" outlineLevel="0" collapsed="false">
      <c r="A56" s="7" t="s">
        <v>72</v>
      </c>
      <c r="B56" s="7" t="n">
        <f aca="false">COUNTIFS('All results'!$K:$K,$A56,'All results'!$E:$E,"Passed")</f>
        <v>17</v>
      </c>
      <c r="C56" s="7" t="n">
        <f aca="false">COUNTIFS('All results'!$K:$K,$A56,'All results'!$E:$E,"Failed — possible new problem")</f>
        <v>0</v>
      </c>
      <c r="D56" s="7" t="n">
        <f aca="false">COUNTIFS('All results'!$K:$K,$A56,'All results'!$E:$E,"Failed — already reported")</f>
        <v>0</v>
      </c>
      <c r="E56" s="7" t="n">
        <f aca="false">COUNTIFS('All results'!$K:$K,$A56,'All results'!$E:$E,"Failed — our test's fault")</f>
        <v>0</v>
      </c>
      <c r="F56" s="7" t="n">
        <f aca="false">COUNTIFS('All results'!$K:$K,$A56,'All results'!$E:$E,"Known fault — still there")</f>
        <v>0</v>
      </c>
      <c r="G56" s="7" t="n">
        <f aca="false">COUNTIFS('All results'!$K:$K,$A56,'All results'!$E:$E,"Known fault — did not reproduce")</f>
        <v>0</v>
      </c>
      <c r="H56" s="7" t="n">
        <f aca="false">COUNTIFS('All results'!$K:$K,$A56,'All results'!$E:$E,"Stood down")</f>
        <v>1</v>
      </c>
    </row>
    <row r="57" customFormat="false" ht="15" hidden="false" customHeight="false" outlineLevel="0" collapsed="false">
      <c r="A57" s="7" t="s">
        <v>73</v>
      </c>
      <c r="B57" s="7" t="n">
        <f aca="false">COUNTIFS('All results'!$K:$K,$A57,'All results'!$E:$E,"Passed")</f>
        <v>15</v>
      </c>
      <c r="C57" s="7" t="n">
        <f aca="false">COUNTIFS('All results'!$K:$K,$A57,'All results'!$E:$E,"Failed — possible new problem")</f>
        <v>0</v>
      </c>
      <c r="D57" s="7" t="n">
        <f aca="false">COUNTIFS('All results'!$K:$K,$A57,'All results'!$E:$E,"Failed — already reported")</f>
        <v>0</v>
      </c>
      <c r="E57" s="7" t="n">
        <f aca="false">COUNTIFS('All results'!$K:$K,$A57,'All results'!$E:$E,"Failed — our test's fault")</f>
        <v>0</v>
      </c>
      <c r="F57" s="7" t="n">
        <f aca="false">COUNTIFS('All results'!$K:$K,$A57,'All results'!$E:$E,"Known fault — still there")</f>
        <v>0</v>
      </c>
      <c r="G57" s="7" t="n">
        <f aca="false">COUNTIFS('All results'!$K:$K,$A57,'All results'!$E:$E,"Known fault — did not reproduce")</f>
        <v>0</v>
      </c>
      <c r="H57" s="7" t="n">
        <f aca="false">COUNTIFS('All results'!$K:$K,$A57,'All results'!$E:$E,"Stood down")</f>
        <v>10</v>
      </c>
    </row>
    <row r="58" customFormat="false" ht="15" hidden="false" customHeight="false" outlineLevel="0" collapsed="false">
      <c r="A58" s="7" t="s">
        <v>74</v>
      </c>
      <c r="B58" s="7" t="n">
        <f aca="false">COUNTIFS('All results'!$K:$K,$A58,'All results'!$E:$E,"Passed")</f>
        <v>11</v>
      </c>
      <c r="C58" s="7" t="n">
        <f aca="false">COUNTIFS('All results'!$K:$K,$A58,'All results'!$E:$E,"Failed — possible new problem")</f>
        <v>0</v>
      </c>
      <c r="D58" s="7" t="n">
        <f aca="false">COUNTIFS('All results'!$K:$K,$A58,'All results'!$E:$E,"Failed — already reported")</f>
        <v>0</v>
      </c>
      <c r="E58" s="7" t="n">
        <f aca="false">COUNTIFS('All results'!$K:$K,$A58,'All results'!$E:$E,"Failed — our test's fault")</f>
        <v>0</v>
      </c>
      <c r="F58" s="7" t="n">
        <f aca="false">COUNTIFS('All results'!$K:$K,$A58,'All results'!$E:$E,"Known fault — still there")</f>
        <v>0</v>
      </c>
      <c r="G58" s="7" t="n">
        <f aca="false">COUNTIFS('All results'!$K:$K,$A58,'All results'!$E:$E,"Known fault — did not reproduce")</f>
        <v>0</v>
      </c>
      <c r="H58" s="7" t="n">
        <f aca="false">COUNTIFS('All results'!$K:$K,$A58,'All results'!$E:$E,"Stood down")</f>
        <v>2</v>
      </c>
    </row>
    <row r="59" customFormat="false" ht="15" hidden="false" customHeight="false" outlineLevel="0" collapsed="false">
      <c r="A59" s="7" t="s">
        <v>75</v>
      </c>
      <c r="B59" s="7" t="n">
        <f aca="false">COUNTIFS('All results'!$K:$K,$A59,'All results'!$E:$E,"Passed")</f>
        <v>16</v>
      </c>
      <c r="C59" s="7" t="n">
        <f aca="false">COUNTIFS('All results'!$K:$K,$A59,'All results'!$E:$E,"Failed — possible new problem")</f>
        <v>0</v>
      </c>
      <c r="D59" s="7" t="n">
        <f aca="false">COUNTIFS('All results'!$K:$K,$A59,'All results'!$E:$E,"Failed — already reported")</f>
        <v>0</v>
      </c>
      <c r="E59" s="7" t="n">
        <f aca="false">COUNTIFS('All results'!$K:$K,$A59,'All results'!$E:$E,"Failed — our test's fault")</f>
        <v>0</v>
      </c>
      <c r="F59" s="7" t="n">
        <f aca="false">COUNTIFS('All results'!$K:$K,$A59,'All results'!$E:$E,"Known fault — still there")</f>
        <v>0</v>
      </c>
      <c r="G59" s="7" t="n">
        <f aca="false">COUNTIFS('All results'!$K:$K,$A59,'All results'!$E:$E,"Known fault — did not reproduce")</f>
        <v>0</v>
      </c>
      <c r="H59" s="7" t="n">
        <f aca="false">COUNTIFS('All results'!$K:$K,$A59,'All results'!$E:$E,"Stood down")</f>
        <v>0</v>
      </c>
    </row>
  </sheetData>
  <mergeCells count="6">
    <mergeCell ref="B3:C3"/>
    <mergeCell ref="B4:C4"/>
    <mergeCell ref="B5:C5"/>
    <mergeCell ref="B6:C6"/>
    <mergeCell ref="B7:C7"/>
    <mergeCell ref="B8:C8"/>
  </mergeCells>
  <hyperlinks>
    <hyperlink ref="B8" r:id="rId1"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76</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79.85" hidden="false" customHeight="false" outlineLevel="0" collapsed="false">
      <c r="A3" s="17" t="s">
        <v>90</v>
      </c>
      <c r="B3" s="18" t="s">
        <v>91</v>
      </c>
      <c r="C3" s="18" t="s">
        <v>12</v>
      </c>
      <c r="D3" s="17" t="s">
        <v>92</v>
      </c>
      <c r="E3" s="19" t="s">
        <v>18</v>
      </c>
      <c r="F3" s="17"/>
      <c r="G3" s="17" t="s">
        <v>93</v>
      </c>
      <c r="H3" s="17" t="s">
        <v>94</v>
      </c>
      <c r="I3" s="17"/>
      <c r="J3" s="17"/>
      <c r="K3" s="17" t="s">
        <v>57</v>
      </c>
      <c r="L3" s="17" t="n">
        <v>83</v>
      </c>
      <c r="M3" s="17" t="n">
        <v>31.6</v>
      </c>
      <c r="N3" s="17"/>
      <c r="O3" s="17"/>
    </row>
    <row r="4" customFormat="false" ht="68.65" hidden="false" customHeight="false" outlineLevel="0" collapsed="false">
      <c r="A4" s="17" t="s">
        <v>95</v>
      </c>
      <c r="B4" s="18" t="s">
        <v>91</v>
      </c>
      <c r="C4" s="18" t="s">
        <v>12</v>
      </c>
      <c r="D4" s="17" t="s">
        <v>96</v>
      </c>
      <c r="E4" s="19" t="s">
        <v>18</v>
      </c>
      <c r="F4" s="17"/>
      <c r="G4" s="17" t="s">
        <v>97</v>
      </c>
      <c r="H4" s="17" t="s">
        <v>94</v>
      </c>
      <c r="I4" s="17"/>
      <c r="J4" s="17"/>
      <c r="K4" s="17" t="s">
        <v>59</v>
      </c>
      <c r="L4" s="17" t="n">
        <v>232</v>
      </c>
      <c r="M4" s="17" t="n">
        <v>9.8</v>
      </c>
      <c r="N4" s="17" t="s">
        <v>98</v>
      </c>
      <c r="O4" s="17" t="s">
        <v>99</v>
      </c>
    </row>
    <row r="5" customFormat="false" ht="68.65" hidden="false" customHeight="false" outlineLevel="0" collapsed="false">
      <c r="A5" s="17" t="s">
        <v>100</v>
      </c>
      <c r="B5" s="18" t="s">
        <v>91</v>
      </c>
      <c r="C5" s="18" t="s">
        <v>12</v>
      </c>
      <c r="D5" s="17" t="s">
        <v>101</v>
      </c>
      <c r="E5" s="19" t="s">
        <v>18</v>
      </c>
      <c r="F5" s="17"/>
      <c r="G5" s="17" t="s">
        <v>102</v>
      </c>
      <c r="H5" s="17" t="s">
        <v>94</v>
      </c>
      <c r="I5" s="17"/>
      <c r="J5" s="17"/>
      <c r="K5" s="17" t="s">
        <v>59</v>
      </c>
      <c r="L5" s="17" t="n">
        <v>305</v>
      </c>
      <c r="M5" s="17" t="n">
        <v>9.8</v>
      </c>
      <c r="N5" s="17" t="s">
        <v>98</v>
      </c>
      <c r="O5" s="17" t="s">
        <v>103</v>
      </c>
    </row>
    <row r="6" customFormat="false" ht="79.85" hidden="false" customHeight="false" outlineLevel="0" collapsed="false">
      <c r="A6" s="17" t="s">
        <v>104</v>
      </c>
      <c r="B6" s="18" t="s">
        <v>91</v>
      </c>
      <c r="C6" s="18" t="s">
        <v>12</v>
      </c>
      <c r="D6" s="17" t="s">
        <v>105</v>
      </c>
      <c r="E6" s="19" t="s">
        <v>18</v>
      </c>
      <c r="F6" s="17"/>
      <c r="G6" s="17" t="s">
        <v>106</v>
      </c>
      <c r="H6" s="17" t="s">
        <v>94</v>
      </c>
      <c r="I6" s="17"/>
      <c r="J6" s="17"/>
      <c r="K6" s="17" t="s">
        <v>59</v>
      </c>
      <c r="L6" s="17" t="n">
        <v>324</v>
      </c>
      <c r="M6" s="17" t="n">
        <v>9.8</v>
      </c>
      <c r="N6" s="17" t="s">
        <v>98</v>
      </c>
      <c r="O6" s="17" t="s">
        <v>107</v>
      </c>
    </row>
    <row r="7" customFormat="false" ht="68.65" hidden="false" customHeight="false" outlineLevel="0" collapsed="false">
      <c r="A7" s="17" t="s">
        <v>108</v>
      </c>
      <c r="B7" s="18" t="s">
        <v>91</v>
      </c>
      <c r="C7" s="18" t="s">
        <v>12</v>
      </c>
      <c r="D7" s="17" t="s">
        <v>109</v>
      </c>
      <c r="E7" s="19" t="s">
        <v>18</v>
      </c>
      <c r="F7" s="17"/>
      <c r="G7" s="17" t="s">
        <v>110</v>
      </c>
      <c r="H7" s="17" t="s">
        <v>94</v>
      </c>
      <c r="I7" s="17"/>
      <c r="J7" s="17"/>
      <c r="K7" s="17" t="s">
        <v>59</v>
      </c>
      <c r="L7" s="17" t="n">
        <v>336</v>
      </c>
      <c r="M7" s="17" t="n">
        <v>10</v>
      </c>
      <c r="N7" s="17" t="s">
        <v>98</v>
      </c>
      <c r="O7" s="17" t="s">
        <v>111</v>
      </c>
    </row>
    <row r="8" customFormat="false" ht="79.85" hidden="false" customHeight="false" outlineLevel="0" collapsed="false">
      <c r="A8" s="17" t="s">
        <v>112</v>
      </c>
      <c r="B8" s="18" t="s">
        <v>91</v>
      </c>
      <c r="C8" s="18" t="s">
        <v>12</v>
      </c>
      <c r="D8" s="17" t="s">
        <v>113</v>
      </c>
      <c r="E8" s="19" t="s">
        <v>18</v>
      </c>
      <c r="F8" s="17"/>
      <c r="G8" s="17" t="s">
        <v>114</v>
      </c>
      <c r="H8" s="17" t="s">
        <v>94</v>
      </c>
      <c r="I8" s="17"/>
      <c r="J8" s="17"/>
      <c r="K8" s="17" t="s">
        <v>63</v>
      </c>
      <c r="L8" s="17" t="n">
        <v>57</v>
      </c>
      <c r="M8" s="17" t="n">
        <v>19</v>
      </c>
      <c r="N8" s="17" t="s">
        <v>98</v>
      </c>
      <c r="O8" s="17" t="s">
        <v>115</v>
      </c>
    </row>
    <row r="9" customFormat="false" ht="68.65" hidden="false" customHeight="false" outlineLevel="0" collapsed="false">
      <c r="A9" s="17" t="s">
        <v>116</v>
      </c>
      <c r="B9" s="18" t="s">
        <v>91</v>
      </c>
      <c r="C9" s="18" t="s">
        <v>12</v>
      </c>
      <c r="D9" s="17" t="s">
        <v>117</v>
      </c>
      <c r="E9" s="19" t="s">
        <v>18</v>
      </c>
      <c r="F9" s="17"/>
      <c r="G9" s="17" t="s">
        <v>118</v>
      </c>
      <c r="H9" s="17" t="s">
        <v>94</v>
      </c>
      <c r="I9" s="17"/>
      <c r="J9" s="17"/>
      <c r="K9" s="17" t="s">
        <v>64</v>
      </c>
      <c r="L9" s="17" t="n">
        <v>261</v>
      </c>
      <c r="M9" s="17" t="n">
        <v>8.1</v>
      </c>
      <c r="N9" s="17"/>
      <c r="O9" s="17"/>
    </row>
    <row r="10" customFormat="false" ht="68.65" hidden="false" customHeight="false" outlineLevel="0" collapsed="false">
      <c r="A10" s="17" t="s">
        <v>119</v>
      </c>
      <c r="B10" s="18" t="s">
        <v>91</v>
      </c>
      <c r="C10" s="18" t="s">
        <v>12</v>
      </c>
      <c r="D10" s="17" t="s">
        <v>120</v>
      </c>
      <c r="E10" s="20" t="s">
        <v>20</v>
      </c>
      <c r="F10" s="17"/>
      <c r="G10" s="17" t="s">
        <v>121</v>
      </c>
      <c r="H10" s="17" t="s">
        <v>122</v>
      </c>
      <c r="I10" s="18" t="s">
        <v>123</v>
      </c>
      <c r="J10" s="17" t="s">
        <v>124</v>
      </c>
      <c r="K10" s="17" t="s">
        <v>57</v>
      </c>
      <c r="L10" s="17" t="n">
        <v>83</v>
      </c>
      <c r="M10" s="17" t="n">
        <v>17.7</v>
      </c>
      <c r="N10" s="17"/>
      <c r="O10" s="17"/>
    </row>
    <row r="11" customFormat="false" ht="68.65" hidden="false" customHeight="false" outlineLevel="0" collapsed="false">
      <c r="A11" s="17" t="s">
        <v>125</v>
      </c>
      <c r="B11" s="18" t="s">
        <v>91</v>
      </c>
      <c r="C11" s="18" t="s">
        <v>12</v>
      </c>
      <c r="D11" s="17" t="s">
        <v>126</v>
      </c>
      <c r="E11" s="20" t="s">
        <v>20</v>
      </c>
      <c r="F11" s="17"/>
      <c r="G11" s="17" t="s">
        <v>121</v>
      </c>
      <c r="H11" s="17" t="s">
        <v>122</v>
      </c>
      <c r="I11" s="18" t="s">
        <v>123</v>
      </c>
      <c r="J11" s="17" t="s">
        <v>124</v>
      </c>
      <c r="K11" s="17" t="s">
        <v>57</v>
      </c>
      <c r="L11" s="17" t="n">
        <v>83</v>
      </c>
      <c r="M11" s="17" t="n">
        <v>19.4</v>
      </c>
      <c r="N11" s="17"/>
      <c r="O11" s="17"/>
    </row>
    <row r="12" customFormat="false" ht="68.65" hidden="false" customHeight="false" outlineLevel="0" collapsed="false">
      <c r="A12" s="17" t="s">
        <v>127</v>
      </c>
      <c r="B12" s="18" t="s">
        <v>91</v>
      </c>
      <c r="C12" s="18" t="s">
        <v>12</v>
      </c>
      <c r="D12" s="17" t="s">
        <v>128</v>
      </c>
      <c r="E12" s="20" t="s">
        <v>20</v>
      </c>
      <c r="F12" s="17"/>
      <c r="G12" s="17" t="s">
        <v>129</v>
      </c>
      <c r="H12" s="17" t="s">
        <v>122</v>
      </c>
      <c r="I12" s="18" t="s">
        <v>123</v>
      </c>
      <c r="J12" s="17" t="s">
        <v>124</v>
      </c>
      <c r="K12" s="17" t="s">
        <v>57</v>
      </c>
      <c r="L12" s="17" t="n">
        <v>83</v>
      </c>
      <c r="M12" s="17" t="n">
        <v>17.6</v>
      </c>
      <c r="N12" s="17"/>
      <c r="O12" s="17"/>
    </row>
    <row r="13" customFormat="false" ht="68.65" hidden="false" customHeight="false" outlineLevel="0" collapsed="false">
      <c r="A13" s="17" t="s">
        <v>130</v>
      </c>
      <c r="B13" s="18" t="s">
        <v>91</v>
      </c>
      <c r="C13" s="18" t="s">
        <v>12</v>
      </c>
      <c r="D13" s="17" t="s">
        <v>131</v>
      </c>
      <c r="E13" s="20" t="s">
        <v>20</v>
      </c>
      <c r="F13" s="17"/>
      <c r="G13" s="17" t="s">
        <v>132</v>
      </c>
      <c r="H13" s="17" t="s">
        <v>122</v>
      </c>
      <c r="I13" s="18" t="s">
        <v>123</v>
      </c>
      <c r="J13" s="17" t="s">
        <v>124</v>
      </c>
      <c r="K13" s="17" t="s">
        <v>57</v>
      </c>
      <c r="L13" s="17" t="n">
        <v>83</v>
      </c>
      <c r="M13" s="17" t="n">
        <v>18.4</v>
      </c>
      <c r="N13" s="17"/>
      <c r="O13" s="17"/>
    </row>
    <row r="14" customFormat="false" ht="68.65" hidden="false" customHeight="false" outlineLevel="0" collapsed="false">
      <c r="A14" s="17" t="s">
        <v>133</v>
      </c>
      <c r="B14" s="18" t="s">
        <v>91</v>
      </c>
      <c r="C14" s="18" t="s">
        <v>12</v>
      </c>
      <c r="D14" s="17" t="s">
        <v>134</v>
      </c>
      <c r="E14" s="20" t="s">
        <v>20</v>
      </c>
      <c r="F14" s="17"/>
      <c r="G14" s="17" t="s">
        <v>135</v>
      </c>
      <c r="H14" s="17" t="s">
        <v>122</v>
      </c>
      <c r="I14" s="18" t="s">
        <v>123</v>
      </c>
      <c r="J14" s="17" t="s">
        <v>124</v>
      </c>
      <c r="K14" s="17" t="s">
        <v>57</v>
      </c>
      <c r="L14" s="17" t="n">
        <v>83</v>
      </c>
      <c r="M14" s="17" t="n">
        <v>17.6</v>
      </c>
      <c r="N14" s="17"/>
      <c r="O14" s="17"/>
    </row>
    <row r="15" customFormat="false" ht="68.65" hidden="false" customHeight="false" outlineLevel="0" collapsed="false">
      <c r="A15" s="17" t="s">
        <v>136</v>
      </c>
      <c r="B15" s="18" t="s">
        <v>91</v>
      </c>
      <c r="C15" s="18" t="s">
        <v>12</v>
      </c>
      <c r="D15" s="17" t="s">
        <v>137</v>
      </c>
      <c r="E15" s="20" t="s">
        <v>20</v>
      </c>
      <c r="F15" s="17"/>
      <c r="G15" s="17" t="s">
        <v>138</v>
      </c>
      <c r="H15" s="17" t="s">
        <v>122</v>
      </c>
      <c r="I15" s="18" t="s">
        <v>123</v>
      </c>
      <c r="J15" s="17" t="s">
        <v>124</v>
      </c>
      <c r="K15" s="17" t="s">
        <v>57</v>
      </c>
      <c r="L15" s="17" t="n">
        <v>83</v>
      </c>
      <c r="M15" s="17" t="n">
        <v>17.6</v>
      </c>
      <c r="N15" s="17"/>
      <c r="O15" s="17"/>
    </row>
    <row r="16" customFormat="false" ht="68.65" hidden="false" customHeight="false" outlineLevel="0" collapsed="false">
      <c r="A16" s="17" t="s">
        <v>139</v>
      </c>
      <c r="B16" s="18" t="s">
        <v>91</v>
      </c>
      <c r="C16" s="18" t="s">
        <v>12</v>
      </c>
      <c r="D16" s="17" t="s">
        <v>140</v>
      </c>
      <c r="E16" s="20" t="s">
        <v>20</v>
      </c>
      <c r="F16" s="17"/>
      <c r="G16" s="17" t="s">
        <v>141</v>
      </c>
      <c r="H16" s="17" t="s">
        <v>122</v>
      </c>
      <c r="I16" s="18" t="s">
        <v>123</v>
      </c>
      <c r="J16" s="17" t="s">
        <v>124</v>
      </c>
      <c r="K16" s="17" t="s">
        <v>57</v>
      </c>
      <c r="L16" s="17" t="n">
        <v>83</v>
      </c>
      <c r="M16" s="17" t="n">
        <v>19.2</v>
      </c>
      <c r="N16" s="17"/>
      <c r="O16" s="17"/>
    </row>
    <row r="17" customFormat="false" ht="79.85" hidden="false" customHeight="false" outlineLevel="0" collapsed="false">
      <c r="A17" s="17" t="s">
        <v>142</v>
      </c>
      <c r="B17" s="18" t="s">
        <v>91</v>
      </c>
      <c r="C17" s="18" t="s">
        <v>12</v>
      </c>
      <c r="D17" s="17" t="s">
        <v>143</v>
      </c>
      <c r="E17" s="20" t="s">
        <v>20</v>
      </c>
      <c r="F17" s="17"/>
      <c r="G17" s="17" t="s">
        <v>144</v>
      </c>
      <c r="H17" s="17" t="s">
        <v>122</v>
      </c>
      <c r="I17" s="18" t="s">
        <v>123</v>
      </c>
      <c r="J17" s="17" t="s">
        <v>124</v>
      </c>
      <c r="K17" s="17" t="s">
        <v>58</v>
      </c>
      <c r="L17" s="17" t="n">
        <v>84</v>
      </c>
      <c r="M17" s="17" t="n">
        <v>9.7</v>
      </c>
      <c r="N17" s="17"/>
      <c r="O17" s="17"/>
    </row>
    <row r="18" customFormat="false" ht="68.65" hidden="false" customHeight="false" outlineLevel="0" collapsed="false">
      <c r="A18" s="17" t="s">
        <v>145</v>
      </c>
      <c r="B18" s="18" t="s">
        <v>91</v>
      </c>
      <c r="C18" s="18" t="s">
        <v>12</v>
      </c>
      <c r="D18" s="17" t="s">
        <v>146</v>
      </c>
      <c r="E18" s="20" t="s">
        <v>20</v>
      </c>
      <c r="F18" s="17"/>
      <c r="G18" s="17" t="s">
        <v>147</v>
      </c>
      <c r="H18" s="17" t="s">
        <v>148</v>
      </c>
      <c r="I18" s="18" t="s">
        <v>149</v>
      </c>
      <c r="J18" s="17" t="s">
        <v>124</v>
      </c>
      <c r="K18" s="17" t="s">
        <v>58</v>
      </c>
      <c r="L18" s="17" t="n">
        <v>162</v>
      </c>
      <c r="M18" s="17" t="n">
        <v>11.4</v>
      </c>
      <c r="N18" s="17"/>
      <c r="O18" s="17"/>
    </row>
    <row r="19" customFormat="false" ht="68.65" hidden="false" customHeight="false" outlineLevel="0" collapsed="false">
      <c r="A19" s="17" t="s">
        <v>150</v>
      </c>
      <c r="B19" s="18" t="s">
        <v>91</v>
      </c>
      <c r="C19" s="18" t="s">
        <v>12</v>
      </c>
      <c r="D19" s="17" t="s">
        <v>151</v>
      </c>
      <c r="E19" s="21" t="s">
        <v>22</v>
      </c>
      <c r="F19" s="17"/>
      <c r="G19" s="17" t="s">
        <v>152</v>
      </c>
      <c r="H19" s="17" t="s">
        <v>153</v>
      </c>
      <c r="I19" s="17"/>
      <c r="J19" s="17"/>
      <c r="K19" s="17" t="s">
        <v>59</v>
      </c>
      <c r="L19" s="17" t="n">
        <v>232</v>
      </c>
      <c r="M19" s="17" t="n">
        <v>9.9</v>
      </c>
      <c r="N19" s="17" t="s">
        <v>16</v>
      </c>
      <c r="O19" s="17"/>
    </row>
    <row r="20" customFormat="false" ht="68.65" hidden="false" customHeight="false" outlineLevel="0" collapsed="false">
      <c r="A20" s="17" t="s">
        <v>154</v>
      </c>
      <c r="B20" s="18" t="s">
        <v>91</v>
      </c>
      <c r="C20" s="18" t="s">
        <v>12</v>
      </c>
      <c r="D20" s="17" t="s">
        <v>155</v>
      </c>
      <c r="E20" s="21" t="s">
        <v>22</v>
      </c>
      <c r="F20" s="17"/>
      <c r="G20" s="17" t="s">
        <v>156</v>
      </c>
      <c r="H20" s="17" t="s">
        <v>153</v>
      </c>
      <c r="I20" s="17"/>
      <c r="J20" s="17"/>
      <c r="K20" s="17" t="s">
        <v>59</v>
      </c>
      <c r="L20" s="17" t="n">
        <v>232</v>
      </c>
      <c r="M20" s="17" t="n">
        <v>9.8</v>
      </c>
      <c r="N20" s="17" t="s">
        <v>16</v>
      </c>
      <c r="O20" s="17"/>
    </row>
    <row r="21" customFormat="false" ht="68.65" hidden="false" customHeight="false" outlineLevel="0" collapsed="false">
      <c r="A21" s="17" t="s">
        <v>157</v>
      </c>
      <c r="B21" s="18" t="s">
        <v>91</v>
      </c>
      <c r="C21" s="18" t="s">
        <v>12</v>
      </c>
      <c r="D21" s="17" t="s">
        <v>158</v>
      </c>
      <c r="E21" s="21" t="s">
        <v>22</v>
      </c>
      <c r="F21" s="17"/>
      <c r="G21" s="17" t="s">
        <v>159</v>
      </c>
      <c r="H21" s="17" t="s">
        <v>153</v>
      </c>
      <c r="I21" s="17"/>
      <c r="J21" s="17"/>
      <c r="K21" s="17" t="s">
        <v>59</v>
      </c>
      <c r="L21" s="17" t="n">
        <v>305</v>
      </c>
      <c r="M21" s="17" t="n">
        <v>9.9</v>
      </c>
      <c r="N21" s="17" t="s">
        <v>16</v>
      </c>
      <c r="O21" s="17"/>
    </row>
    <row r="22" customFormat="false" ht="68.65" hidden="false" customHeight="false" outlineLevel="0" collapsed="false">
      <c r="A22" s="17" t="s">
        <v>160</v>
      </c>
      <c r="B22" s="18" t="s">
        <v>91</v>
      </c>
      <c r="C22" s="18" t="s">
        <v>12</v>
      </c>
      <c r="D22" s="17" t="s">
        <v>161</v>
      </c>
      <c r="E22" s="21" t="s">
        <v>22</v>
      </c>
      <c r="F22" s="17"/>
      <c r="G22" s="17" t="s">
        <v>162</v>
      </c>
      <c r="H22" s="17" t="s">
        <v>153</v>
      </c>
      <c r="I22" s="17"/>
      <c r="J22" s="17"/>
      <c r="K22" s="17" t="s">
        <v>59</v>
      </c>
      <c r="L22" s="17" t="n">
        <v>305</v>
      </c>
      <c r="M22" s="17" t="n">
        <v>9.9</v>
      </c>
      <c r="N22" s="17" t="s">
        <v>16</v>
      </c>
      <c r="O22" s="17"/>
    </row>
    <row r="23" customFormat="false" ht="79.85" hidden="false" customHeight="false" outlineLevel="0" collapsed="false">
      <c r="A23" s="17" t="s">
        <v>163</v>
      </c>
      <c r="B23" s="18" t="s">
        <v>91</v>
      </c>
      <c r="C23" s="18" t="s">
        <v>12</v>
      </c>
      <c r="D23" s="17" t="s">
        <v>164</v>
      </c>
      <c r="E23" s="21" t="s">
        <v>22</v>
      </c>
      <c r="F23" s="17"/>
      <c r="G23" s="17" t="s">
        <v>165</v>
      </c>
      <c r="H23" s="17" t="s">
        <v>153</v>
      </c>
      <c r="I23" s="17"/>
      <c r="J23" s="17"/>
      <c r="K23" s="17" t="s">
        <v>60</v>
      </c>
      <c r="L23" s="17" t="n">
        <v>368</v>
      </c>
      <c r="M23" s="17" t="n">
        <v>6.9</v>
      </c>
      <c r="N23" s="17" t="s">
        <v>16</v>
      </c>
      <c r="O23" s="17"/>
    </row>
    <row r="24" customFormat="false" ht="68.65" hidden="false" customHeight="false" outlineLevel="0" collapsed="false">
      <c r="A24" s="17" t="s">
        <v>166</v>
      </c>
      <c r="B24" s="18" t="s">
        <v>91</v>
      </c>
      <c r="C24" s="18" t="s">
        <v>12</v>
      </c>
      <c r="D24" s="17" t="s">
        <v>167</v>
      </c>
      <c r="E24" s="21" t="s">
        <v>22</v>
      </c>
      <c r="F24" s="17"/>
      <c r="G24" s="17" t="s">
        <v>168</v>
      </c>
      <c r="H24" s="17" t="s">
        <v>153</v>
      </c>
      <c r="I24" s="17"/>
      <c r="J24" s="17"/>
      <c r="K24" s="17" t="s">
        <v>61</v>
      </c>
      <c r="L24" s="17" t="n">
        <v>76</v>
      </c>
      <c r="M24" s="17" t="n">
        <v>63.5</v>
      </c>
      <c r="N24" s="17" t="s">
        <v>16</v>
      </c>
      <c r="O24" s="17"/>
    </row>
    <row r="25" customFormat="false" ht="68.65" hidden="false" customHeight="false" outlineLevel="0" collapsed="false">
      <c r="A25" s="17" t="s">
        <v>169</v>
      </c>
      <c r="B25" s="18" t="s">
        <v>91</v>
      </c>
      <c r="C25" s="18" t="s">
        <v>12</v>
      </c>
      <c r="D25" s="17" t="s">
        <v>170</v>
      </c>
      <c r="E25" s="21" t="s">
        <v>22</v>
      </c>
      <c r="F25" s="17"/>
      <c r="G25" s="17" t="s">
        <v>171</v>
      </c>
      <c r="H25" s="17" t="s">
        <v>153</v>
      </c>
      <c r="I25" s="17"/>
      <c r="J25" s="17"/>
      <c r="K25" s="17" t="s">
        <v>62</v>
      </c>
      <c r="L25" s="17" t="n">
        <v>103</v>
      </c>
      <c r="M25" s="17" t="n">
        <v>27.8</v>
      </c>
      <c r="N25" s="17" t="s">
        <v>16</v>
      </c>
      <c r="O25" s="17"/>
    </row>
    <row r="26" customFormat="false" ht="68.65" hidden="false" customHeight="false" outlineLevel="0" collapsed="false">
      <c r="A26" s="17" t="s">
        <v>172</v>
      </c>
      <c r="B26" s="18" t="s">
        <v>91</v>
      </c>
      <c r="C26" s="18" t="s">
        <v>12</v>
      </c>
      <c r="D26" s="17" t="s">
        <v>173</v>
      </c>
      <c r="E26" s="21" t="s">
        <v>22</v>
      </c>
      <c r="F26" s="17"/>
      <c r="G26" s="17" t="s">
        <v>174</v>
      </c>
      <c r="H26" s="17" t="s">
        <v>153</v>
      </c>
      <c r="I26" s="17"/>
      <c r="J26" s="17"/>
      <c r="K26" s="17" t="s">
        <v>62</v>
      </c>
      <c r="L26" s="17" t="n">
        <v>115</v>
      </c>
      <c r="M26" s="17" t="n">
        <v>12.6</v>
      </c>
      <c r="N26" s="17" t="s">
        <v>16</v>
      </c>
      <c r="O26" s="17"/>
    </row>
    <row r="27" customFormat="false" ht="57.45" hidden="false" customHeight="false" outlineLevel="0" collapsed="false">
      <c r="A27" s="17" t="s">
        <v>175</v>
      </c>
      <c r="B27" s="18" t="s">
        <v>91</v>
      </c>
      <c r="C27" s="18" t="s">
        <v>12</v>
      </c>
      <c r="D27" s="17" t="s">
        <v>176</v>
      </c>
      <c r="E27" s="21" t="s">
        <v>22</v>
      </c>
      <c r="F27" s="17"/>
      <c r="G27" s="17" t="s">
        <v>177</v>
      </c>
      <c r="H27" s="17" t="s">
        <v>153</v>
      </c>
      <c r="I27" s="17"/>
      <c r="J27" s="17"/>
      <c r="K27" s="17" t="s">
        <v>62</v>
      </c>
      <c r="L27" s="17" t="n">
        <v>127</v>
      </c>
      <c r="M27" s="17" t="n">
        <v>12.9</v>
      </c>
      <c r="N27" s="17" t="s">
        <v>16</v>
      </c>
      <c r="O27" s="17"/>
    </row>
    <row r="28" customFormat="false" ht="68.65" hidden="false" customHeight="false" outlineLevel="0" collapsed="false">
      <c r="A28" s="17" t="s">
        <v>178</v>
      </c>
      <c r="B28" s="18" t="s">
        <v>91</v>
      </c>
      <c r="C28" s="18" t="s">
        <v>12</v>
      </c>
      <c r="D28" s="17" t="s">
        <v>179</v>
      </c>
      <c r="E28" s="21" t="s">
        <v>22</v>
      </c>
      <c r="F28" s="17"/>
      <c r="G28" s="17" t="s">
        <v>180</v>
      </c>
      <c r="H28" s="17" t="s">
        <v>153</v>
      </c>
      <c r="I28" s="17"/>
      <c r="J28" s="17"/>
      <c r="K28" s="17" t="s">
        <v>62</v>
      </c>
      <c r="L28" s="17" t="n">
        <v>143</v>
      </c>
      <c r="M28" s="17" t="n">
        <v>12.5</v>
      </c>
      <c r="N28" s="17" t="s">
        <v>16</v>
      </c>
      <c r="O28" s="17"/>
    </row>
    <row r="29" customFormat="false" ht="68.65" hidden="false" customHeight="false" outlineLevel="0" collapsed="false">
      <c r="A29" s="17" t="s">
        <v>181</v>
      </c>
      <c r="B29" s="18" t="s">
        <v>91</v>
      </c>
      <c r="C29" s="18" t="s">
        <v>12</v>
      </c>
      <c r="D29" s="17" t="s">
        <v>182</v>
      </c>
      <c r="E29" s="21" t="s">
        <v>22</v>
      </c>
      <c r="F29" s="17"/>
      <c r="G29" s="17" t="s">
        <v>183</v>
      </c>
      <c r="H29" s="17" t="s">
        <v>153</v>
      </c>
      <c r="I29" s="17"/>
      <c r="J29" s="17"/>
      <c r="K29" s="17" t="s">
        <v>62</v>
      </c>
      <c r="L29" s="17" t="n">
        <v>173</v>
      </c>
      <c r="M29" s="17" t="n">
        <v>4.8</v>
      </c>
      <c r="N29" s="17" t="s">
        <v>16</v>
      </c>
      <c r="O29" s="17"/>
    </row>
    <row r="30" customFormat="false" ht="68.65" hidden="false" customHeight="false" outlineLevel="0" collapsed="false">
      <c r="A30" s="17" t="s">
        <v>184</v>
      </c>
      <c r="B30" s="18" t="s">
        <v>91</v>
      </c>
      <c r="C30" s="18" t="s">
        <v>12</v>
      </c>
      <c r="D30" s="17" t="s">
        <v>185</v>
      </c>
      <c r="E30" s="21" t="s">
        <v>22</v>
      </c>
      <c r="F30" s="17"/>
      <c r="G30" s="17" t="s">
        <v>186</v>
      </c>
      <c r="H30" s="17" t="s">
        <v>153</v>
      </c>
      <c r="I30" s="18" t="s">
        <v>187</v>
      </c>
      <c r="J30" s="17" t="s">
        <v>188</v>
      </c>
      <c r="K30" s="17" t="s">
        <v>63</v>
      </c>
      <c r="L30" s="17" t="n">
        <v>105</v>
      </c>
      <c r="M30" s="17" t="n">
        <v>19.8</v>
      </c>
      <c r="N30" s="17" t="s">
        <v>16</v>
      </c>
      <c r="O30" s="17"/>
    </row>
    <row r="31" customFormat="false" ht="79.85" hidden="false" customHeight="false" outlineLevel="0" collapsed="false">
      <c r="A31" s="17" t="s">
        <v>189</v>
      </c>
      <c r="B31" s="18" t="s">
        <v>91</v>
      </c>
      <c r="C31" s="18" t="s">
        <v>12</v>
      </c>
      <c r="D31" s="17" t="s">
        <v>190</v>
      </c>
      <c r="E31" s="21" t="s">
        <v>22</v>
      </c>
      <c r="F31" s="17"/>
      <c r="G31" s="17" t="s">
        <v>191</v>
      </c>
      <c r="H31" s="17" t="s">
        <v>153</v>
      </c>
      <c r="I31" s="17"/>
      <c r="J31" s="17"/>
      <c r="K31" s="17" t="s">
        <v>69</v>
      </c>
      <c r="L31" s="17" t="n">
        <v>85</v>
      </c>
      <c r="M31" s="17" t="n">
        <v>0.8</v>
      </c>
      <c r="N31" s="17" t="s">
        <v>16</v>
      </c>
      <c r="O31" s="17"/>
    </row>
    <row r="32" customFormat="false" ht="79.85" hidden="false" customHeight="false" outlineLevel="0" collapsed="false">
      <c r="A32" s="17" t="s">
        <v>192</v>
      </c>
      <c r="B32" s="18" t="s">
        <v>91</v>
      </c>
      <c r="C32" s="18" t="s">
        <v>12</v>
      </c>
      <c r="D32" s="17" t="s">
        <v>193</v>
      </c>
      <c r="E32" s="21" t="s">
        <v>22</v>
      </c>
      <c r="F32" s="17"/>
      <c r="G32" s="17" t="s">
        <v>191</v>
      </c>
      <c r="H32" s="17" t="s">
        <v>153</v>
      </c>
      <c r="I32" s="17"/>
      <c r="J32" s="17"/>
      <c r="K32" s="17" t="s">
        <v>69</v>
      </c>
      <c r="L32" s="17" t="n">
        <v>98</v>
      </c>
      <c r="M32" s="17" t="n">
        <v>0.6</v>
      </c>
      <c r="N32" s="17" t="s">
        <v>16</v>
      </c>
      <c r="O32" s="17"/>
    </row>
    <row r="33" customFormat="false" ht="79.85" hidden="false" customHeight="false" outlineLevel="0" collapsed="false">
      <c r="A33" s="17" t="s">
        <v>194</v>
      </c>
      <c r="B33" s="18" t="s">
        <v>91</v>
      </c>
      <c r="C33" s="18" t="s">
        <v>12</v>
      </c>
      <c r="D33" s="17" t="s">
        <v>195</v>
      </c>
      <c r="E33" s="21" t="s">
        <v>22</v>
      </c>
      <c r="F33" s="17"/>
      <c r="G33" s="17" t="s">
        <v>191</v>
      </c>
      <c r="H33" s="17" t="s">
        <v>153</v>
      </c>
      <c r="I33" s="17"/>
      <c r="J33" s="17"/>
      <c r="K33" s="17" t="s">
        <v>69</v>
      </c>
      <c r="L33" s="17" t="n">
        <v>115</v>
      </c>
      <c r="M33" s="17" t="n">
        <v>0.6</v>
      </c>
      <c r="N33" s="17" t="s">
        <v>16</v>
      </c>
      <c r="O33" s="17"/>
    </row>
    <row r="34" customFormat="false" ht="79.85" hidden="false" customHeight="false" outlineLevel="0" collapsed="false">
      <c r="A34" s="17" t="s">
        <v>196</v>
      </c>
      <c r="B34" s="18" t="s">
        <v>91</v>
      </c>
      <c r="C34" s="18" t="s">
        <v>12</v>
      </c>
      <c r="D34" s="17" t="s">
        <v>197</v>
      </c>
      <c r="E34" s="21" t="s">
        <v>22</v>
      </c>
      <c r="F34" s="17"/>
      <c r="G34" s="17" t="s">
        <v>191</v>
      </c>
      <c r="H34" s="17" t="s">
        <v>153</v>
      </c>
      <c r="I34" s="17"/>
      <c r="J34" s="17"/>
      <c r="K34" s="17" t="s">
        <v>69</v>
      </c>
      <c r="L34" s="17" t="n">
        <v>126</v>
      </c>
      <c r="M34" s="17" t="n">
        <v>0.6</v>
      </c>
      <c r="N34" s="17" t="s">
        <v>16</v>
      </c>
      <c r="O34" s="17"/>
    </row>
    <row r="35" customFormat="false" ht="79.85" hidden="false" customHeight="false" outlineLevel="0" collapsed="false">
      <c r="A35" s="17" t="s">
        <v>198</v>
      </c>
      <c r="B35" s="18" t="s">
        <v>91</v>
      </c>
      <c r="C35" s="18" t="s">
        <v>12</v>
      </c>
      <c r="D35" s="17" t="s">
        <v>199</v>
      </c>
      <c r="E35" s="21" t="s">
        <v>22</v>
      </c>
      <c r="F35" s="17"/>
      <c r="G35" s="17" t="s">
        <v>191</v>
      </c>
      <c r="H35" s="17" t="s">
        <v>153</v>
      </c>
      <c r="I35" s="17"/>
      <c r="J35" s="17"/>
      <c r="K35" s="17" t="s">
        <v>69</v>
      </c>
      <c r="L35" s="17" t="n">
        <v>137</v>
      </c>
      <c r="M35" s="17" t="n">
        <v>0.7</v>
      </c>
      <c r="N35" s="17" t="s">
        <v>16</v>
      </c>
      <c r="O35" s="17"/>
    </row>
    <row r="36" customFormat="false" ht="68.65" hidden="false" customHeight="false" outlineLevel="0" collapsed="false">
      <c r="A36" s="17" t="s">
        <v>200</v>
      </c>
      <c r="B36" s="18" t="s">
        <v>91</v>
      </c>
      <c r="C36" s="18" t="s">
        <v>12</v>
      </c>
      <c r="D36" s="17" t="s">
        <v>201</v>
      </c>
      <c r="E36" s="21" t="s">
        <v>22</v>
      </c>
      <c r="F36" s="17"/>
      <c r="G36" s="17" t="s">
        <v>202</v>
      </c>
      <c r="H36" s="17" t="s">
        <v>153</v>
      </c>
      <c r="I36" s="17"/>
      <c r="J36" s="17"/>
      <c r="K36" s="17" t="s">
        <v>69</v>
      </c>
      <c r="L36" s="17" t="n">
        <v>184</v>
      </c>
      <c r="M36" s="17" t="n">
        <v>21.9</v>
      </c>
      <c r="N36" s="17" t="s">
        <v>16</v>
      </c>
      <c r="O36" s="17"/>
    </row>
    <row r="37" customFormat="false" ht="15" hidden="false" customHeight="false" outlineLevel="0" collapsed="false">
      <c r="A37" s="17" t="s">
        <v>203</v>
      </c>
      <c r="B37" s="18" t="s">
        <v>91</v>
      </c>
      <c r="C37" s="18" t="s">
        <v>12</v>
      </c>
      <c r="D37" s="17" t="s">
        <v>204</v>
      </c>
      <c r="E37" s="20" t="s">
        <v>24</v>
      </c>
      <c r="F37" s="17"/>
      <c r="G37" s="17" t="s">
        <v>205</v>
      </c>
      <c r="H37" s="17" t="s">
        <v>206</v>
      </c>
      <c r="I37" s="17"/>
      <c r="J37" s="17"/>
      <c r="K37" s="17" t="s">
        <v>57</v>
      </c>
      <c r="L37" s="17" t="n">
        <v>83</v>
      </c>
      <c r="M37" s="17" t="n">
        <v>30.4</v>
      </c>
      <c r="N37" s="17"/>
      <c r="O37" s="17"/>
    </row>
    <row r="38" customFormat="false" ht="23.85" hidden="false" customHeight="false" outlineLevel="0" collapsed="false">
      <c r="A38" s="17" t="s">
        <v>207</v>
      </c>
      <c r="B38" s="18" t="s">
        <v>91</v>
      </c>
      <c r="C38" s="18" t="s">
        <v>12</v>
      </c>
      <c r="D38" s="17" t="s">
        <v>208</v>
      </c>
      <c r="E38" s="20" t="s">
        <v>24</v>
      </c>
      <c r="F38" s="17"/>
      <c r="G38" s="17" t="s">
        <v>205</v>
      </c>
      <c r="H38" s="17" t="s">
        <v>206</v>
      </c>
      <c r="I38" s="17"/>
      <c r="J38" s="17"/>
      <c r="K38" s="17" t="s">
        <v>57</v>
      </c>
      <c r="L38" s="17" t="n">
        <v>83</v>
      </c>
      <c r="M38" s="17" t="n">
        <v>29.5</v>
      </c>
      <c r="N38" s="17"/>
      <c r="O38" s="17"/>
    </row>
    <row r="39" customFormat="false" ht="23.85" hidden="false" customHeight="false" outlineLevel="0" collapsed="false">
      <c r="A39" s="17" t="s">
        <v>209</v>
      </c>
      <c r="B39" s="18" t="s">
        <v>91</v>
      </c>
      <c r="C39" s="18" t="s">
        <v>12</v>
      </c>
      <c r="D39" s="17" t="s">
        <v>210</v>
      </c>
      <c r="E39" s="20" t="s">
        <v>24</v>
      </c>
      <c r="F39" s="17"/>
      <c r="G39" s="17" t="s">
        <v>205</v>
      </c>
      <c r="H39" s="17" t="s">
        <v>206</v>
      </c>
      <c r="I39" s="17"/>
      <c r="J39" s="17"/>
      <c r="K39" s="17" t="s">
        <v>57</v>
      </c>
      <c r="L39" s="17" t="n">
        <v>83</v>
      </c>
      <c r="M39" s="17" t="n">
        <v>28.3</v>
      </c>
      <c r="N39" s="17"/>
      <c r="O39" s="17"/>
    </row>
    <row r="40" customFormat="false" ht="15" hidden="false" customHeight="false" outlineLevel="0" collapsed="false">
      <c r="A40" s="17" t="s">
        <v>211</v>
      </c>
      <c r="B40" s="18" t="s">
        <v>91</v>
      </c>
      <c r="C40" s="18" t="s">
        <v>12</v>
      </c>
      <c r="D40" s="17" t="s">
        <v>212</v>
      </c>
      <c r="E40" s="20" t="s">
        <v>24</v>
      </c>
      <c r="F40" s="17"/>
      <c r="G40" s="17" t="s">
        <v>205</v>
      </c>
      <c r="H40" s="17" t="s">
        <v>206</v>
      </c>
      <c r="I40" s="17"/>
      <c r="J40" s="17"/>
      <c r="K40" s="17" t="s">
        <v>57</v>
      </c>
      <c r="L40" s="17" t="n">
        <v>83</v>
      </c>
      <c r="M40" s="17" t="n">
        <v>29.1</v>
      </c>
      <c r="N40" s="17"/>
      <c r="O40" s="17"/>
    </row>
    <row r="41" customFormat="false" ht="15" hidden="false" customHeight="false" outlineLevel="0" collapsed="false">
      <c r="A41" s="17" t="s">
        <v>213</v>
      </c>
      <c r="B41" s="18" t="s">
        <v>91</v>
      </c>
      <c r="C41" s="18" t="s">
        <v>12</v>
      </c>
      <c r="D41" s="17" t="s">
        <v>214</v>
      </c>
      <c r="E41" s="20" t="s">
        <v>24</v>
      </c>
      <c r="F41" s="17"/>
      <c r="G41" s="17" t="s">
        <v>205</v>
      </c>
      <c r="H41" s="17" t="s">
        <v>206</v>
      </c>
      <c r="I41" s="17"/>
      <c r="J41" s="17"/>
      <c r="K41" s="17" t="s">
        <v>57</v>
      </c>
      <c r="L41" s="17" t="n">
        <v>83</v>
      </c>
      <c r="M41" s="17" t="n">
        <v>27.5</v>
      </c>
      <c r="N41" s="17"/>
      <c r="O41" s="17"/>
    </row>
    <row r="42" customFormat="false" ht="23.85" hidden="false" customHeight="false" outlineLevel="0" collapsed="false">
      <c r="A42" s="17" t="s">
        <v>215</v>
      </c>
      <c r="B42" s="18" t="s">
        <v>91</v>
      </c>
      <c r="C42" s="18" t="s">
        <v>12</v>
      </c>
      <c r="D42" s="17" t="s">
        <v>216</v>
      </c>
      <c r="E42" s="20" t="s">
        <v>24</v>
      </c>
      <c r="F42" s="17"/>
      <c r="G42" s="17" t="s">
        <v>205</v>
      </c>
      <c r="H42" s="17" t="s">
        <v>206</v>
      </c>
      <c r="I42" s="17"/>
      <c r="J42" s="17"/>
      <c r="K42" s="17" t="s">
        <v>57</v>
      </c>
      <c r="L42" s="17" t="n">
        <v>83</v>
      </c>
      <c r="M42" s="17" t="n">
        <v>28.6</v>
      </c>
      <c r="N42" s="17"/>
      <c r="O42" s="17"/>
    </row>
    <row r="43" customFormat="false" ht="15" hidden="false" customHeight="false" outlineLevel="0" collapsed="false">
      <c r="A43" s="17" t="s">
        <v>217</v>
      </c>
      <c r="B43" s="18" t="s">
        <v>91</v>
      </c>
      <c r="C43" s="18" t="s">
        <v>12</v>
      </c>
      <c r="D43" s="17" t="s">
        <v>218</v>
      </c>
      <c r="E43" s="20" t="s">
        <v>24</v>
      </c>
      <c r="F43" s="17"/>
      <c r="G43" s="17" t="s">
        <v>205</v>
      </c>
      <c r="H43" s="17" t="s">
        <v>206</v>
      </c>
      <c r="I43" s="17"/>
      <c r="J43" s="17"/>
      <c r="K43" s="17" t="s">
        <v>57</v>
      </c>
      <c r="L43" s="17" t="n">
        <v>83</v>
      </c>
      <c r="M43" s="17" t="n">
        <v>27.2</v>
      </c>
      <c r="N43" s="17"/>
      <c r="O43" s="17"/>
    </row>
    <row r="44" customFormat="false" ht="15" hidden="false" customHeight="false" outlineLevel="0" collapsed="false">
      <c r="A44" s="17" t="s">
        <v>219</v>
      </c>
      <c r="B44" s="18" t="s">
        <v>91</v>
      </c>
      <c r="C44" s="18" t="s">
        <v>12</v>
      </c>
      <c r="D44" s="17" t="s">
        <v>220</v>
      </c>
      <c r="E44" s="20" t="s">
        <v>24</v>
      </c>
      <c r="F44" s="17"/>
      <c r="G44" s="17" t="s">
        <v>205</v>
      </c>
      <c r="H44" s="17" t="s">
        <v>206</v>
      </c>
      <c r="I44" s="17"/>
      <c r="J44" s="17"/>
      <c r="K44" s="17" t="s">
        <v>57</v>
      </c>
      <c r="L44" s="17" t="n">
        <v>83</v>
      </c>
      <c r="M44" s="17" t="n">
        <v>28.8</v>
      </c>
      <c r="N44" s="17"/>
      <c r="O44" s="17"/>
    </row>
    <row r="45" customFormat="false" ht="15" hidden="false" customHeight="false" outlineLevel="0" collapsed="false">
      <c r="A45" s="17" t="s">
        <v>221</v>
      </c>
      <c r="B45" s="18" t="s">
        <v>91</v>
      </c>
      <c r="C45" s="18" t="s">
        <v>12</v>
      </c>
      <c r="D45" s="17" t="s">
        <v>222</v>
      </c>
      <c r="E45" s="20" t="s">
        <v>24</v>
      </c>
      <c r="F45" s="17"/>
      <c r="G45" s="17" t="s">
        <v>205</v>
      </c>
      <c r="H45" s="17" t="s">
        <v>206</v>
      </c>
      <c r="I45" s="17"/>
      <c r="J45" s="17"/>
      <c r="K45" s="17" t="s">
        <v>57</v>
      </c>
      <c r="L45" s="17" t="n">
        <v>83</v>
      </c>
      <c r="M45" s="17" t="n">
        <v>30.8</v>
      </c>
      <c r="N45" s="17"/>
      <c r="O45" s="17"/>
    </row>
    <row r="46" customFormat="false" ht="15" hidden="false" customHeight="false" outlineLevel="0" collapsed="false">
      <c r="A46" s="17" t="s">
        <v>223</v>
      </c>
      <c r="B46" s="18" t="s">
        <v>91</v>
      </c>
      <c r="C46" s="18" t="s">
        <v>12</v>
      </c>
      <c r="D46" s="17" t="s">
        <v>224</v>
      </c>
      <c r="E46" s="20" t="s">
        <v>24</v>
      </c>
      <c r="F46" s="17"/>
      <c r="G46" s="17" t="s">
        <v>205</v>
      </c>
      <c r="H46" s="17" t="s">
        <v>206</v>
      </c>
      <c r="I46" s="17"/>
      <c r="J46" s="17"/>
      <c r="K46" s="17" t="s">
        <v>57</v>
      </c>
      <c r="L46" s="17" t="n">
        <v>83</v>
      </c>
      <c r="M46" s="17" t="n">
        <v>28.3</v>
      </c>
      <c r="N46" s="17"/>
      <c r="O46" s="17"/>
    </row>
    <row r="47" customFormat="false" ht="23.85" hidden="false" customHeight="false" outlineLevel="0" collapsed="false">
      <c r="A47" s="17" t="s">
        <v>225</v>
      </c>
      <c r="B47" s="18" t="s">
        <v>91</v>
      </c>
      <c r="C47" s="18" t="s">
        <v>12</v>
      </c>
      <c r="D47" s="17" t="s">
        <v>226</v>
      </c>
      <c r="E47" s="20" t="s">
        <v>24</v>
      </c>
      <c r="F47" s="17"/>
      <c r="G47" s="17" t="s">
        <v>205</v>
      </c>
      <c r="H47" s="17" t="s">
        <v>206</v>
      </c>
      <c r="I47" s="17"/>
      <c r="J47" s="17"/>
      <c r="K47" s="17" t="s">
        <v>57</v>
      </c>
      <c r="L47" s="17" t="n">
        <v>83</v>
      </c>
      <c r="M47" s="17" t="n">
        <v>29.3</v>
      </c>
      <c r="N47" s="17"/>
      <c r="O47" s="17"/>
    </row>
    <row r="48" customFormat="false" ht="15" hidden="false" customHeight="false" outlineLevel="0" collapsed="false">
      <c r="A48" s="17" t="s">
        <v>227</v>
      </c>
      <c r="B48" s="18" t="s">
        <v>91</v>
      </c>
      <c r="C48" s="18" t="s">
        <v>12</v>
      </c>
      <c r="D48" s="17" t="s">
        <v>228</v>
      </c>
      <c r="E48" s="20" t="s">
        <v>24</v>
      </c>
      <c r="F48" s="17"/>
      <c r="G48" s="17" t="s">
        <v>205</v>
      </c>
      <c r="H48" s="17" t="s">
        <v>206</v>
      </c>
      <c r="I48" s="17"/>
      <c r="J48" s="17"/>
      <c r="K48" s="17" t="s">
        <v>57</v>
      </c>
      <c r="L48" s="17" t="n">
        <v>83</v>
      </c>
      <c r="M48" s="17" t="n">
        <v>28.7</v>
      </c>
      <c r="N48" s="17"/>
      <c r="O48" s="17"/>
    </row>
    <row r="49" customFormat="false" ht="15" hidden="false" customHeight="false" outlineLevel="0" collapsed="false">
      <c r="A49" s="17" t="s">
        <v>229</v>
      </c>
      <c r="B49" s="18" t="s">
        <v>91</v>
      </c>
      <c r="C49" s="18" t="s">
        <v>12</v>
      </c>
      <c r="D49" s="17" t="s">
        <v>230</v>
      </c>
      <c r="E49" s="20" t="s">
        <v>24</v>
      </c>
      <c r="F49" s="17"/>
      <c r="G49" s="17" t="s">
        <v>205</v>
      </c>
      <c r="H49" s="17" t="s">
        <v>206</v>
      </c>
      <c r="I49" s="17"/>
      <c r="J49" s="17"/>
      <c r="K49" s="17" t="s">
        <v>57</v>
      </c>
      <c r="L49" s="17" t="n">
        <v>83</v>
      </c>
      <c r="M49" s="17" t="n">
        <v>30</v>
      </c>
      <c r="N49" s="17"/>
      <c r="O49" s="17"/>
    </row>
    <row r="50" customFormat="false" ht="23.85" hidden="false" customHeight="false" outlineLevel="0" collapsed="false">
      <c r="A50" s="17" t="s">
        <v>231</v>
      </c>
      <c r="B50" s="18" t="s">
        <v>91</v>
      </c>
      <c r="C50" s="18" t="s">
        <v>12</v>
      </c>
      <c r="D50" s="17" t="s">
        <v>232</v>
      </c>
      <c r="E50" s="20" t="s">
        <v>24</v>
      </c>
      <c r="F50" s="17"/>
      <c r="G50" s="17" t="s">
        <v>205</v>
      </c>
      <c r="H50" s="17" t="s">
        <v>206</v>
      </c>
      <c r="I50" s="17"/>
      <c r="J50" s="17"/>
      <c r="K50" s="17" t="s">
        <v>57</v>
      </c>
      <c r="L50" s="17" t="n">
        <v>83</v>
      </c>
      <c r="M50" s="17" t="n">
        <v>27.4</v>
      </c>
      <c r="N50" s="17"/>
      <c r="O50" s="17"/>
    </row>
    <row r="51" customFormat="false" ht="23.85" hidden="false" customHeight="false" outlineLevel="0" collapsed="false">
      <c r="A51" s="17" t="s">
        <v>233</v>
      </c>
      <c r="B51" s="18" t="s">
        <v>91</v>
      </c>
      <c r="C51" s="18" t="s">
        <v>12</v>
      </c>
      <c r="D51" s="17" t="s">
        <v>234</v>
      </c>
      <c r="E51" s="20" t="s">
        <v>24</v>
      </c>
      <c r="F51" s="17"/>
      <c r="G51" s="17" t="s">
        <v>205</v>
      </c>
      <c r="H51" s="17" t="s">
        <v>206</v>
      </c>
      <c r="I51" s="17"/>
      <c r="J51" s="17"/>
      <c r="K51" s="17" t="s">
        <v>57</v>
      </c>
      <c r="L51" s="17" t="n">
        <v>83</v>
      </c>
      <c r="M51" s="17" t="n">
        <v>27.2</v>
      </c>
      <c r="N51" s="17"/>
      <c r="O51" s="17"/>
    </row>
    <row r="52" customFormat="false" ht="15" hidden="false" customHeight="false" outlineLevel="0" collapsed="false">
      <c r="A52" s="17" t="s">
        <v>235</v>
      </c>
      <c r="B52" s="18" t="s">
        <v>91</v>
      </c>
      <c r="C52" s="18" t="s">
        <v>12</v>
      </c>
      <c r="D52" s="17" t="s">
        <v>236</v>
      </c>
      <c r="E52" s="20" t="s">
        <v>24</v>
      </c>
      <c r="F52" s="17"/>
      <c r="G52" s="17" t="s">
        <v>237</v>
      </c>
      <c r="H52" s="17" t="s">
        <v>206</v>
      </c>
      <c r="I52" s="18" t="s">
        <v>238</v>
      </c>
      <c r="J52" s="17" t="s">
        <v>188</v>
      </c>
      <c r="K52" s="17" t="s">
        <v>63</v>
      </c>
      <c r="L52" s="17" t="n">
        <v>27</v>
      </c>
      <c r="M52" s="17" t="n">
        <v>6</v>
      </c>
      <c r="N52" s="17"/>
      <c r="O52" s="17"/>
    </row>
    <row r="53" customFormat="false" ht="23.85" hidden="false" customHeight="false" outlineLevel="0" collapsed="false">
      <c r="A53" s="17" t="s">
        <v>184</v>
      </c>
      <c r="B53" s="18" t="s">
        <v>91</v>
      </c>
      <c r="C53" s="18" t="s">
        <v>12</v>
      </c>
      <c r="D53" s="17" t="s">
        <v>239</v>
      </c>
      <c r="E53" s="20" t="s">
        <v>24</v>
      </c>
      <c r="F53" s="17"/>
      <c r="G53" s="17" t="s">
        <v>240</v>
      </c>
      <c r="H53" s="17" t="s">
        <v>206</v>
      </c>
      <c r="I53" s="18" t="s">
        <v>187</v>
      </c>
      <c r="J53" s="17" t="s">
        <v>188</v>
      </c>
      <c r="K53" s="17" t="s">
        <v>63</v>
      </c>
      <c r="L53" s="17" t="n">
        <v>161</v>
      </c>
      <c r="M53" s="17" t="n">
        <v>29.1</v>
      </c>
      <c r="N53" s="17"/>
      <c r="O53" s="17"/>
    </row>
    <row r="54" customFormat="false" ht="15" hidden="false" customHeight="false" outlineLevel="0" collapsed="false">
      <c r="A54" s="17" t="s">
        <v>241</v>
      </c>
      <c r="B54" s="18" t="s">
        <v>91</v>
      </c>
      <c r="C54" s="18" t="s">
        <v>12</v>
      </c>
      <c r="D54" s="17" t="s">
        <v>242</v>
      </c>
      <c r="E54" s="20" t="s">
        <v>24</v>
      </c>
      <c r="F54" s="17"/>
      <c r="G54" s="17" t="s">
        <v>243</v>
      </c>
      <c r="H54" s="17" t="s">
        <v>206</v>
      </c>
      <c r="I54" s="18" t="s">
        <v>244</v>
      </c>
      <c r="J54" s="17" t="s">
        <v>188</v>
      </c>
      <c r="K54" s="17" t="s">
        <v>65</v>
      </c>
      <c r="L54" s="17" t="n">
        <v>137</v>
      </c>
      <c r="M54" s="17" t="n">
        <v>9.3</v>
      </c>
      <c r="N54" s="17"/>
      <c r="O54" s="17"/>
    </row>
    <row r="55" customFormat="false" ht="15" hidden="false" customHeight="false" outlineLevel="0" collapsed="false">
      <c r="A55" s="17" t="s">
        <v>245</v>
      </c>
      <c r="B55" s="18" t="s">
        <v>91</v>
      </c>
      <c r="C55" s="18" t="s">
        <v>12</v>
      </c>
      <c r="D55" s="17" t="s">
        <v>246</v>
      </c>
      <c r="E55" s="20" t="s">
        <v>24</v>
      </c>
      <c r="F55" s="17"/>
      <c r="G55" s="17" t="s">
        <v>247</v>
      </c>
      <c r="H55" s="17" t="s">
        <v>206</v>
      </c>
      <c r="I55" s="18" t="s">
        <v>248</v>
      </c>
      <c r="J55" s="17" t="s">
        <v>249</v>
      </c>
      <c r="K55" s="17" t="s">
        <v>65</v>
      </c>
      <c r="L55" s="17" t="n">
        <v>150</v>
      </c>
      <c r="M55" s="17" t="n">
        <v>9.9</v>
      </c>
      <c r="N55" s="17"/>
      <c r="O55" s="17"/>
    </row>
    <row r="56" customFormat="false" ht="15" hidden="false" customHeight="false" outlineLevel="0" collapsed="false">
      <c r="A56" s="17" t="s">
        <v>250</v>
      </c>
      <c r="B56" s="18" t="s">
        <v>91</v>
      </c>
      <c r="C56" s="18" t="s">
        <v>12</v>
      </c>
      <c r="D56" s="17" t="s">
        <v>251</v>
      </c>
      <c r="E56" s="20" t="s">
        <v>24</v>
      </c>
      <c r="F56" s="17"/>
      <c r="G56" s="17" t="s">
        <v>252</v>
      </c>
      <c r="H56" s="17" t="s">
        <v>206</v>
      </c>
      <c r="I56" s="18" t="s">
        <v>253</v>
      </c>
      <c r="J56" s="17" t="s">
        <v>188</v>
      </c>
      <c r="K56" s="17" t="s">
        <v>65</v>
      </c>
      <c r="L56" s="17" t="n">
        <v>163</v>
      </c>
      <c r="M56" s="17" t="n">
        <v>9.1</v>
      </c>
      <c r="N56" s="17"/>
      <c r="O56" s="17"/>
    </row>
    <row r="57" customFormat="false" ht="15" hidden="false" customHeight="false" outlineLevel="0" collapsed="false">
      <c r="A57" s="17" t="s">
        <v>254</v>
      </c>
      <c r="B57" s="18" t="s">
        <v>91</v>
      </c>
      <c r="C57" s="18" t="s">
        <v>12</v>
      </c>
      <c r="D57" s="17" t="s">
        <v>255</v>
      </c>
      <c r="E57" s="20" t="s">
        <v>24</v>
      </c>
      <c r="F57" s="17"/>
      <c r="G57" s="17" t="s">
        <v>256</v>
      </c>
      <c r="H57" s="17" t="s">
        <v>206</v>
      </c>
      <c r="I57" s="18" t="s">
        <v>257</v>
      </c>
      <c r="J57" s="17" t="s">
        <v>188</v>
      </c>
      <c r="K57" s="17" t="s">
        <v>66</v>
      </c>
      <c r="L57" s="17" t="n">
        <v>159</v>
      </c>
      <c r="M57" s="17" t="n">
        <v>9.4</v>
      </c>
      <c r="N57" s="17"/>
      <c r="O57" s="17"/>
    </row>
    <row r="58" customFormat="false" ht="23.85" hidden="false" customHeight="false" outlineLevel="0" collapsed="false">
      <c r="A58" s="17" t="s">
        <v>258</v>
      </c>
      <c r="B58" s="18" t="s">
        <v>91</v>
      </c>
      <c r="C58" s="18" t="s">
        <v>12</v>
      </c>
      <c r="D58" s="17" t="s">
        <v>259</v>
      </c>
      <c r="E58" s="22" t="s">
        <v>26</v>
      </c>
      <c r="F58" s="17"/>
      <c r="G58" s="17" t="s">
        <v>260</v>
      </c>
      <c r="H58" s="17" t="s">
        <v>261</v>
      </c>
      <c r="I58" s="18" t="s">
        <v>238</v>
      </c>
      <c r="J58" s="17" t="s">
        <v>188</v>
      </c>
      <c r="K58" s="17" t="s">
        <v>60</v>
      </c>
      <c r="L58" s="17" t="n">
        <v>83</v>
      </c>
      <c r="M58" s="17" t="n">
        <v>6.9</v>
      </c>
      <c r="N58" s="17"/>
      <c r="O58" s="17"/>
    </row>
    <row r="59" customFormat="false" ht="35.05" hidden="false" customHeight="false" outlineLevel="0" collapsed="false">
      <c r="A59" s="17" t="s">
        <v>262</v>
      </c>
      <c r="B59" s="18" t="s">
        <v>91</v>
      </c>
      <c r="C59" s="18" t="s">
        <v>12</v>
      </c>
      <c r="D59" s="17" t="s">
        <v>263</v>
      </c>
      <c r="E59" s="23" t="s">
        <v>28</v>
      </c>
      <c r="F59" s="17"/>
      <c r="G59" s="17" t="s">
        <v>264</v>
      </c>
      <c r="H59" s="17" t="s">
        <v>265</v>
      </c>
      <c r="I59" s="17"/>
      <c r="J59" s="17"/>
      <c r="K59" s="17" t="s">
        <v>56</v>
      </c>
      <c r="L59" s="17" t="n">
        <v>267</v>
      </c>
      <c r="M59" s="17" t="n">
        <v>8.8</v>
      </c>
      <c r="N59" s="17"/>
      <c r="O59" s="17"/>
    </row>
    <row r="60" customFormat="false" ht="23.85" hidden="false" customHeight="false" outlineLevel="0" collapsed="false">
      <c r="A60" s="17" t="s">
        <v>266</v>
      </c>
      <c r="B60" s="18" t="s">
        <v>91</v>
      </c>
      <c r="C60" s="18" t="s">
        <v>12</v>
      </c>
      <c r="D60" s="17" t="s">
        <v>267</v>
      </c>
      <c r="E60" s="23" t="s">
        <v>28</v>
      </c>
      <c r="F60" s="17"/>
      <c r="G60" s="17" t="s">
        <v>268</v>
      </c>
      <c r="H60" s="17" t="s">
        <v>265</v>
      </c>
      <c r="I60" s="17"/>
      <c r="J60" s="17"/>
      <c r="K60" s="17" t="s">
        <v>58</v>
      </c>
      <c r="L60" s="17" t="n">
        <v>214</v>
      </c>
      <c r="M60" s="17" t="n">
        <v>16</v>
      </c>
      <c r="N60" s="17"/>
      <c r="O60" s="17"/>
    </row>
    <row r="61" customFormat="false" ht="46.25" hidden="false" customHeight="false" outlineLevel="0" collapsed="false">
      <c r="A61" s="17" t="s">
        <v>269</v>
      </c>
      <c r="B61" s="18" t="s">
        <v>91</v>
      </c>
      <c r="C61" s="18" t="s">
        <v>12</v>
      </c>
      <c r="D61" s="17" t="s">
        <v>270</v>
      </c>
      <c r="E61" s="23" t="s">
        <v>28</v>
      </c>
      <c r="F61" s="17"/>
      <c r="G61" s="17" t="s">
        <v>271</v>
      </c>
      <c r="H61" s="17" t="s">
        <v>265</v>
      </c>
      <c r="I61" s="17"/>
      <c r="J61" s="17"/>
      <c r="K61" s="17" t="s">
        <v>59</v>
      </c>
      <c r="L61" s="17" t="n">
        <v>403</v>
      </c>
      <c r="M61" s="17" t="n">
        <v>9.8</v>
      </c>
      <c r="N61" s="17"/>
      <c r="O61" s="17"/>
    </row>
    <row r="62" customFormat="false" ht="46.25" hidden="false" customHeight="false" outlineLevel="0" collapsed="false">
      <c r="A62" s="17" t="s">
        <v>272</v>
      </c>
      <c r="B62" s="18" t="s">
        <v>91</v>
      </c>
      <c r="C62" s="18" t="s">
        <v>12</v>
      </c>
      <c r="D62" s="17" t="s">
        <v>273</v>
      </c>
      <c r="E62" s="23" t="s">
        <v>28</v>
      </c>
      <c r="F62" s="17"/>
      <c r="G62" s="17" t="s">
        <v>274</v>
      </c>
      <c r="H62" s="17" t="s">
        <v>265</v>
      </c>
      <c r="I62" s="17"/>
      <c r="J62" s="17"/>
      <c r="K62" s="17" t="s">
        <v>59</v>
      </c>
      <c r="L62" s="17" t="n">
        <v>403</v>
      </c>
      <c r="M62" s="17" t="n">
        <v>9.7</v>
      </c>
      <c r="N62" s="17"/>
      <c r="O62" s="17"/>
    </row>
    <row r="63" customFormat="false" ht="46.25" hidden="false" customHeight="false" outlineLevel="0" collapsed="false">
      <c r="A63" s="17" t="s">
        <v>275</v>
      </c>
      <c r="B63" s="18" t="s">
        <v>91</v>
      </c>
      <c r="C63" s="18" t="s">
        <v>12</v>
      </c>
      <c r="D63" s="17" t="s">
        <v>276</v>
      </c>
      <c r="E63" s="23" t="s">
        <v>28</v>
      </c>
      <c r="F63" s="17"/>
      <c r="G63" s="17" t="s">
        <v>277</v>
      </c>
      <c r="H63" s="17" t="s">
        <v>265</v>
      </c>
      <c r="I63" s="17"/>
      <c r="J63" s="17"/>
      <c r="K63" s="17" t="s">
        <v>59</v>
      </c>
      <c r="L63" s="17" t="n">
        <v>403</v>
      </c>
      <c r="M63" s="17" t="n">
        <v>9.8</v>
      </c>
      <c r="N63" s="17"/>
      <c r="O63" s="17"/>
    </row>
    <row r="64" customFormat="false" ht="46.25" hidden="false" customHeight="false" outlineLevel="0" collapsed="false">
      <c r="A64" s="17" t="s">
        <v>278</v>
      </c>
      <c r="B64" s="18" t="s">
        <v>91</v>
      </c>
      <c r="C64" s="18" t="s">
        <v>12</v>
      </c>
      <c r="D64" s="17" t="s">
        <v>279</v>
      </c>
      <c r="E64" s="23" t="s">
        <v>28</v>
      </c>
      <c r="F64" s="17"/>
      <c r="G64" s="17" t="s">
        <v>280</v>
      </c>
      <c r="H64" s="17" t="s">
        <v>265</v>
      </c>
      <c r="I64" s="17"/>
      <c r="J64" s="17"/>
      <c r="K64" s="17" t="s">
        <v>59</v>
      </c>
      <c r="L64" s="17" t="n">
        <v>403</v>
      </c>
      <c r="M64" s="17" t="n">
        <v>9.8</v>
      </c>
      <c r="N64" s="17"/>
      <c r="O64" s="17"/>
    </row>
    <row r="65" customFormat="false" ht="46.25" hidden="false" customHeight="false" outlineLevel="0" collapsed="false">
      <c r="A65" s="17" t="s">
        <v>281</v>
      </c>
      <c r="B65" s="18" t="s">
        <v>91</v>
      </c>
      <c r="C65" s="18" t="s">
        <v>12</v>
      </c>
      <c r="D65" s="17" t="s">
        <v>282</v>
      </c>
      <c r="E65" s="23" t="s">
        <v>28</v>
      </c>
      <c r="F65" s="17"/>
      <c r="G65" s="17" t="s">
        <v>283</v>
      </c>
      <c r="H65" s="17" t="s">
        <v>265</v>
      </c>
      <c r="I65" s="17"/>
      <c r="J65" s="17"/>
      <c r="K65" s="17" t="s">
        <v>59</v>
      </c>
      <c r="L65" s="17" t="n">
        <v>403</v>
      </c>
      <c r="M65" s="17" t="n">
        <v>9.8</v>
      </c>
      <c r="N65" s="17"/>
      <c r="O65" s="17"/>
    </row>
    <row r="66" customFormat="false" ht="46.25" hidden="false" customHeight="false" outlineLevel="0" collapsed="false">
      <c r="A66" s="17" t="s">
        <v>284</v>
      </c>
      <c r="B66" s="18" t="s">
        <v>91</v>
      </c>
      <c r="C66" s="18" t="s">
        <v>12</v>
      </c>
      <c r="D66" s="17" t="s">
        <v>285</v>
      </c>
      <c r="E66" s="23" t="s">
        <v>28</v>
      </c>
      <c r="F66" s="17"/>
      <c r="G66" s="17" t="s">
        <v>286</v>
      </c>
      <c r="H66" s="17" t="s">
        <v>265</v>
      </c>
      <c r="I66" s="17"/>
      <c r="J66" s="17"/>
      <c r="K66" s="17" t="s">
        <v>59</v>
      </c>
      <c r="L66" s="17" t="n">
        <v>403</v>
      </c>
      <c r="M66" s="17" t="n">
        <v>9.8</v>
      </c>
      <c r="N66" s="17"/>
      <c r="O66" s="17"/>
    </row>
    <row r="67" customFormat="false" ht="23.85" hidden="false" customHeight="false" outlineLevel="0" collapsed="false">
      <c r="A67" s="17" t="s">
        <v>287</v>
      </c>
      <c r="B67" s="18" t="s">
        <v>91</v>
      </c>
      <c r="C67" s="18" t="s">
        <v>12</v>
      </c>
      <c r="D67" s="17" t="s">
        <v>288</v>
      </c>
      <c r="E67" s="23" t="s">
        <v>28</v>
      </c>
      <c r="F67" s="17"/>
      <c r="G67" s="17" t="s">
        <v>289</v>
      </c>
      <c r="H67" s="17" t="s">
        <v>265</v>
      </c>
      <c r="I67" s="17"/>
      <c r="J67" s="17"/>
      <c r="K67" s="17" t="s">
        <v>60</v>
      </c>
      <c r="L67" s="17" t="n">
        <v>158</v>
      </c>
      <c r="M67" s="17" t="n">
        <v>0</v>
      </c>
      <c r="N67" s="17"/>
      <c r="O67" s="17"/>
    </row>
    <row r="68" customFormat="false" ht="23.85" hidden="false" customHeight="false" outlineLevel="0" collapsed="false">
      <c r="A68" s="17" t="s">
        <v>290</v>
      </c>
      <c r="B68" s="18" t="s">
        <v>91</v>
      </c>
      <c r="C68" s="18" t="s">
        <v>12</v>
      </c>
      <c r="D68" s="17" t="s">
        <v>291</v>
      </c>
      <c r="E68" s="23" t="s">
        <v>28</v>
      </c>
      <c r="F68" s="17"/>
      <c r="G68" s="17" t="s">
        <v>292</v>
      </c>
      <c r="H68" s="17" t="s">
        <v>265</v>
      </c>
      <c r="I68" s="17"/>
      <c r="J68" s="17"/>
      <c r="K68" s="17" t="s">
        <v>63</v>
      </c>
      <c r="L68" s="17" t="n">
        <v>79</v>
      </c>
      <c r="M68" s="17" t="n">
        <v>9.2</v>
      </c>
      <c r="N68" s="17"/>
      <c r="O68" s="17"/>
    </row>
    <row r="69" customFormat="false" ht="23.85" hidden="false" customHeight="false" outlineLevel="0" collapsed="false">
      <c r="A69" s="17" t="s">
        <v>293</v>
      </c>
      <c r="B69" s="18" t="s">
        <v>91</v>
      </c>
      <c r="C69" s="18" t="s">
        <v>12</v>
      </c>
      <c r="D69" s="17" t="s">
        <v>294</v>
      </c>
      <c r="E69" s="23" t="s">
        <v>28</v>
      </c>
      <c r="F69" s="17"/>
      <c r="G69" s="17" t="s">
        <v>295</v>
      </c>
      <c r="H69" s="17" t="s">
        <v>265</v>
      </c>
      <c r="I69" s="17"/>
      <c r="J69" s="17"/>
      <c r="K69" s="17" t="s">
        <v>64</v>
      </c>
      <c r="L69" s="17" t="n">
        <v>115</v>
      </c>
      <c r="M69" s="17" t="n">
        <v>0</v>
      </c>
      <c r="N69" s="17"/>
      <c r="O69" s="17"/>
    </row>
    <row r="70" customFormat="false" ht="23.85" hidden="false" customHeight="false" outlineLevel="0" collapsed="false">
      <c r="A70" s="17" t="s">
        <v>296</v>
      </c>
      <c r="B70" s="18" t="s">
        <v>91</v>
      </c>
      <c r="C70" s="18" t="s">
        <v>12</v>
      </c>
      <c r="D70" s="17" t="s">
        <v>297</v>
      </c>
      <c r="E70" s="23" t="s">
        <v>28</v>
      </c>
      <c r="F70" s="17"/>
      <c r="G70" s="17" t="s">
        <v>295</v>
      </c>
      <c r="H70" s="17" t="s">
        <v>265</v>
      </c>
      <c r="I70" s="17"/>
      <c r="J70" s="17"/>
      <c r="K70" s="17" t="s">
        <v>64</v>
      </c>
      <c r="L70" s="17" t="n">
        <v>115</v>
      </c>
      <c r="M70" s="17" t="n">
        <v>0</v>
      </c>
      <c r="N70" s="17"/>
      <c r="O70" s="17"/>
    </row>
    <row r="71" customFormat="false" ht="23.85" hidden="false" customHeight="false" outlineLevel="0" collapsed="false">
      <c r="A71" s="17" t="s">
        <v>298</v>
      </c>
      <c r="B71" s="18" t="s">
        <v>91</v>
      </c>
      <c r="C71" s="18" t="s">
        <v>12</v>
      </c>
      <c r="D71" s="17" t="s">
        <v>299</v>
      </c>
      <c r="E71" s="23" t="s">
        <v>28</v>
      </c>
      <c r="F71" s="17"/>
      <c r="G71" s="17" t="s">
        <v>300</v>
      </c>
      <c r="H71" s="17" t="s">
        <v>265</v>
      </c>
      <c r="I71" s="17"/>
      <c r="J71" s="17"/>
      <c r="K71" s="17" t="s">
        <v>64</v>
      </c>
      <c r="L71" s="17" t="n">
        <v>115</v>
      </c>
      <c r="M71" s="17" t="n">
        <v>0</v>
      </c>
      <c r="N71" s="17"/>
      <c r="O71" s="17"/>
    </row>
    <row r="72" customFormat="false" ht="23.85" hidden="false" customHeight="false" outlineLevel="0" collapsed="false">
      <c r="A72" s="17" t="s">
        <v>301</v>
      </c>
      <c r="B72" s="18" t="s">
        <v>91</v>
      </c>
      <c r="C72" s="18" t="s">
        <v>12</v>
      </c>
      <c r="D72" s="17" t="s">
        <v>302</v>
      </c>
      <c r="E72" s="23" t="s">
        <v>28</v>
      </c>
      <c r="F72" s="17"/>
      <c r="G72" s="17" t="s">
        <v>303</v>
      </c>
      <c r="H72" s="17" t="s">
        <v>265</v>
      </c>
      <c r="I72" s="17"/>
      <c r="J72" s="17"/>
      <c r="K72" s="17" t="s">
        <v>64</v>
      </c>
      <c r="L72" s="17" t="n">
        <v>174</v>
      </c>
      <c r="M72" s="17" t="n">
        <v>0</v>
      </c>
      <c r="N72" s="17"/>
      <c r="O72" s="17"/>
    </row>
    <row r="73" customFormat="false" ht="23.85" hidden="false" customHeight="false" outlineLevel="0" collapsed="false">
      <c r="A73" s="17" t="s">
        <v>304</v>
      </c>
      <c r="B73" s="18" t="s">
        <v>91</v>
      </c>
      <c r="C73" s="18" t="s">
        <v>12</v>
      </c>
      <c r="D73" s="17" t="s">
        <v>305</v>
      </c>
      <c r="E73" s="23" t="s">
        <v>28</v>
      </c>
      <c r="F73" s="17"/>
      <c r="G73" s="17" t="s">
        <v>306</v>
      </c>
      <c r="H73" s="17" t="s">
        <v>265</v>
      </c>
      <c r="I73" s="17"/>
      <c r="J73" s="17"/>
      <c r="K73" s="17" t="s">
        <v>64</v>
      </c>
      <c r="L73" s="17" t="n">
        <v>205</v>
      </c>
      <c r="M73" s="17" t="n">
        <v>0</v>
      </c>
      <c r="N73" s="17"/>
      <c r="O73" s="17"/>
    </row>
    <row r="74" customFormat="false" ht="23.85" hidden="false" customHeight="false" outlineLevel="0" collapsed="false">
      <c r="A74" s="17" t="s">
        <v>307</v>
      </c>
      <c r="B74" s="18" t="s">
        <v>91</v>
      </c>
      <c r="C74" s="18" t="s">
        <v>12</v>
      </c>
      <c r="D74" s="17" t="s">
        <v>308</v>
      </c>
      <c r="E74" s="23" t="s">
        <v>28</v>
      </c>
      <c r="F74" s="17"/>
      <c r="G74" s="17" t="s">
        <v>309</v>
      </c>
      <c r="H74" s="17" t="s">
        <v>265</v>
      </c>
      <c r="I74" s="17"/>
      <c r="J74" s="17"/>
      <c r="K74" s="17" t="s">
        <v>64</v>
      </c>
      <c r="L74" s="17" t="n">
        <v>205</v>
      </c>
      <c r="M74" s="17" t="n">
        <v>0</v>
      </c>
      <c r="N74" s="17"/>
      <c r="O74" s="17"/>
    </row>
    <row r="75" customFormat="false" ht="23.85" hidden="false" customHeight="false" outlineLevel="0" collapsed="false">
      <c r="A75" s="17" t="s">
        <v>310</v>
      </c>
      <c r="B75" s="18" t="s">
        <v>91</v>
      </c>
      <c r="C75" s="18" t="s">
        <v>12</v>
      </c>
      <c r="D75" s="17" t="s">
        <v>311</v>
      </c>
      <c r="E75" s="23" t="s">
        <v>28</v>
      </c>
      <c r="F75" s="17"/>
      <c r="G75" s="17" t="s">
        <v>312</v>
      </c>
      <c r="H75" s="17" t="s">
        <v>265</v>
      </c>
      <c r="I75" s="17"/>
      <c r="J75" s="17"/>
      <c r="K75" s="17" t="s">
        <v>64</v>
      </c>
      <c r="L75" s="17" t="n">
        <v>205</v>
      </c>
      <c r="M75" s="17" t="n">
        <v>0</v>
      </c>
      <c r="N75" s="17"/>
      <c r="O75" s="17"/>
    </row>
    <row r="76" customFormat="false" ht="23.85" hidden="false" customHeight="false" outlineLevel="0" collapsed="false">
      <c r="A76" s="17" t="s">
        <v>313</v>
      </c>
      <c r="B76" s="18" t="s">
        <v>91</v>
      </c>
      <c r="C76" s="18" t="s">
        <v>12</v>
      </c>
      <c r="D76" s="17" t="s">
        <v>314</v>
      </c>
      <c r="E76" s="23" t="s">
        <v>28</v>
      </c>
      <c r="F76" s="17"/>
      <c r="G76" s="17" t="s">
        <v>309</v>
      </c>
      <c r="H76" s="17" t="s">
        <v>265</v>
      </c>
      <c r="I76" s="17"/>
      <c r="J76" s="17"/>
      <c r="K76" s="17" t="s">
        <v>64</v>
      </c>
      <c r="L76" s="17" t="n">
        <v>205</v>
      </c>
      <c r="M76" s="17" t="n">
        <v>0</v>
      </c>
      <c r="N76" s="17"/>
      <c r="O76" s="17"/>
    </row>
    <row r="77" customFormat="false" ht="23.85" hidden="false" customHeight="false" outlineLevel="0" collapsed="false">
      <c r="A77" s="17" t="s">
        <v>315</v>
      </c>
      <c r="B77" s="18" t="s">
        <v>91</v>
      </c>
      <c r="C77" s="18" t="s">
        <v>12</v>
      </c>
      <c r="D77" s="17" t="s">
        <v>316</v>
      </c>
      <c r="E77" s="23" t="s">
        <v>28</v>
      </c>
      <c r="F77" s="17"/>
      <c r="G77" s="17" t="s">
        <v>317</v>
      </c>
      <c r="H77" s="17" t="s">
        <v>265</v>
      </c>
      <c r="I77" s="17"/>
      <c r="J77" s="17"/>
      <c r="K77" s="17" t="s">
        <v>64</v>
      </c>
      <c r="L77" s="17" t="n">
        <v>269</v>
      </c>
      <c r="M77" s="17" t="n">
        <v>0</v>
      </c>
      <c r="N77" s="17"/>
      <c r="O77" s="17"/>
    </row>
    <row r="78" customFormat="false" ht="35.05" hidden="false" customHeight="false" outlineLevel="0" collapsed="false">
      <c r="A78" s="17" t="s">
        <v>318</v>
      </c>
      <c r="B78" s="18" t="s">
        <v>91</v>
      </c>
      <c r="C78" s="18" t="s">
        <v>12</v>
      </c>
      <c r="D78" s="17" t="s">
        <v>319</v>
      </c>
      <c r="E78" s="23" t="s">
        <v>28</v>
      </c>
      <c r="F78" s="17"/>
      <c r="G78" s="17" t="s">
        <v>320</v>
      </c>
      <c r="H78" s="17" t="s">
        <v>265</v>
      </c>
      <c r="I78" s="17"/>
      <c r="J78" s="17"/>
      <c r="K78" s="17" t="s">
        <v>65</v>
      </c>
      <c r="L78" s="17" t="n">
        <v>61</v>
      </c>
      <c r="M78" s="17" t="n">
        <v>9.5</v>
      </c>
      <c r="N78" s="17"/>
      <c r="O78" s="17"/>
    </row>
    <row r="79" customFormat="false" ht="35.05" hidden="false" customHeight="false" outlineLevel="0" collapsed="false">
      <c r="A79" s="17" t="s">
        <v>321</v>
      </c>
      <c r="B79" s="18" t="s">
        <v>91</v>
      </c>
      <c r="C79" s="18" t="s">
        <v>12</v>
      </c>
      <c r="D79" s="17" t="s">
        <v>322</v>
      </c>
      <c r="E79" s="23" t="s">
        <v>28</v>
      </c>
      <c r="F79" s="17"/>
      <c r="G79" s="17" t="s">
        <v>323</v>
      </c>
      <c r="H79" s="17" t="s">
        <v>265</v>
      </c>
      <c r="I79" s="17"/>
      <c r="J79" s="17"/>
      <c r="K79" s="17" t="s">
        <v>65</v>
      </c>
      <c r="L79" s="17" t="n">
        <v>61</v>
      </c>
      <c r="M79" s="17" t="n">
        <v>10.4</v>
      </c>
      <c r="N79" s="17"/>
      <c r="O79" s="17"/>
    </row>
    <row r="80" customFormat="false" ht="35.05" hidden="false" customHeight="false" outlineLevel="0" collapsed="false">
      <c r="A80" s="17" t="s">
        <v>324</v>
      </c>
      <c r="B80" s="18" t="s">
        <v>91</v>
      </c>
      <c r="C80" s="18" t="s">
        <v>12</v>
      </c>
      <c r="D80" s="17" t="s">
        <v>325</v>
      </c>
      <c r="E80" s="23" t="s">
        <v>28</v>
      </c>
      <c r="F80" s="17"/>
      <c r="G80" s="17" t="s">
        <v>326</v>
      </c>
      <c r="H80" s="17" t="s">
        <v>265</v>
      </c>
      <c r="I80" s="17"/>
      <c r="J80" s="17"/>
      <c r="K80" s="17" t="s">
        <v>65</v>
      </c>
      <c r="L80" s="17" t="n">
        <v>61</v>
      </c>
      <c r="M80" s="17" t="n">
        <v>10.5</v>
      </c>
      <c r="N80" s="17"/>
      <c r="O80" s="17"/>
    </row>
    <row r="81" customFormat="false" ht="35.05" hidden="false" customHeight="false" outlineLevel="0" collapsed="false">
      <c r="A81" s="17" t="s">
        <v>327</v>
      </c>
      <c r="B81" s="18" t="s">
        <v>91</v>
      </c>
      <c r="C81" s="18" t="s">
        <v>12</v>
      </c>
      <c r="D81" s="17" t="s">
        <v>328</v>
      </c>
      <c r="E81" s="23" t="s">
        <v>28</v>
      </c>
      <c r="F81" s="17"/>
      <c r="G81" s="17" t="s">
        <v>329</v>
      </c>
      <c r="H81" s="17" t="s">
        <v>265</v>
      </c>
      <c r="I81" s="17"/>
      <c r="J81" s="17"/>
      <c r="K81" s="17" t="s">
        <v>65</v>
      </c>
      <c r="L81" s="17" t="n">
        <v>61</v>
      </c>
      <c r="M81" s="17" t="n">
        <v>10.3</v>
      </c>
      <c r="N81" s="17"/>
      <c r="O81" s="17"/>
    </row>
    <row r="82" customFormat="false" ht="35.05" hidden="false" customHeight="false" outlineLevel="0" collapsed="false">
      <c r="A82" s="17" t="s">
        <v>330</v>
      </c>
      <c r="B82" s="18" t="s">
        <v>91</v>
      </c>
      <c r="C82" s="18" t="s">
        <v>12</v>
      </c>
      <c r="D82" s="17" t="s">
        <v>331</v>
      </c>
      <c r="E82" s="23" t="s">
        <v>28</v>
      </c>
      <c r="F82" s="17"/>
      <c r="G82" s="17" t="s">
        <v>332</v>
      </c>
      <c r="H82" s="17" t="s">
        <v>265</v>
      </c>
      <c r="I82" s="17"/>
      <c r="J82" s="17"/>
      <c r="K82" s="17" t="s">
        <v>65</v>
      </c>
      <c r="L82" s="17" t="n">
        <v>61</v>
      </c>
      <c r="M82" s="17" t="n">
        <v>10.4</v>
      </c>
      <c r="N82" s="17"/>
      <c r="O82" s="17"/>
    </row>
    <row r="83" customFormat="false" ht="23.85" hidden="false" customHeight="false" outlineLevel="0" collapsed="false">
      <c r="A83" s="17" t="s">
        <v>333</v>
      </c>
      <c r="B83" s="18" t="s">
        <v>91</v>
      </c>
      <c r="C83" s="18" t="s">
        <v>12</v>
      </c>
      <c r="D83" s="17" t="s">
        <v>334</v>
      </c>
      <c r="E83" s="23" t="s">
        <v>28</v>
      </c>
      <c r="F83" s="17"/>
      <c r="G83" s="17" t="s">
        <v>335</v>
      </c>
      <c r="H83" s="17" t="s">
        <v>265</v>
      </c>
      <c r="I83" s="17"/>
      <c r="J83" s="17"/>
      <c r="K83" s="17" t="s">
        <v>65</v>
      </c>
      <c r="L83" s="17" t="n">
        <v>61</v>
      </c>
      <c r="M83" s="17" t="n">
        <v>19.6</v>
      </c>
      <c r="N83" s="17"/>
      <c r="O83" s="17"/>
    </row>
    <row r="84" customFormat="false" ht="35.05" hidden="false" customHeight="false" outlineLevel="0" collapsed="false">
      <c r="A84" s="17" t="s">
        <v>336</v>
      </c>
      <c r="B84" s="18" t="s">
        <v>91</v>
      </c>
      <c r="C84" s="18" t="s">
        <v>12</v>
      </c>
      <c r="D84" s="17" t="s">
        <v>337</v>
      </c>
      <c r="E84" s="23" t="s">
        <v>28</v>
      </c>
      <c r="F84" s="17"/>
      <c r="G84" s="17" t="s">
        <v>338</v>
      </c>
      <c r="H84" s="17" t="s">
        <v>265</v>
      </c>
      <c r="I84" s="17"/>
      <c r="J84" s="17"/>
      <c r="K84" s="17" t="s">
        <v>65</v>
      </c>
      <c r="L84" s="17" t="n">
        <v>61</v>
      </c>
      <c r="M84" s="17" t="n">
        <v>10.4</v>
      </c>
      <c r="N84" s="17"/>
      <c r="O84" s="17"/>
    </row>
    <row r="85" customFormat="false" ht="23.85" hidden="false" customHeight="false" outlineLevel="0" collapsed="false">
      <c r="A85" s="17" t="s">
        <v>339</v>
      </c>
      <c r="B85" s="18" t="s">
        <v>91</v>
      </c>
      <c r="C85" s="18" t="s">
        <v>12</v>
      </c>
      <c r="D85" s="17" t="s">
        <v>340</v>
      </c>
      <c r="E85" s="23" t="s">
        <v>28</v>
      </c>
      <c r="F85" s="17"/>
      <c r="G85" s="17" t="s">
        <v>341</v>
      </c>
      <c r="H85" s="17" t="s">
        <v>265</v>
      </c>
      <c r="I85" s="17"/>
      <c r="J85" s="17"/>
      <c r="K85" s="17" t="s">
        <v>65</v>
      </c>
      <c r="L85" s="17" t="n">
        <v>61</v>
      </c>
      <c r="M85" s="17" t="n">
        <v>18.5</v>
      </c>
      <c r="N85" s="17"/>
      <c r="O85" s="17"/>
    </row>
    <row r="86" customFormat="false" ht="35.05" hidden="false" customHeight="false" outlineLevel="0" collapsed="false">
      <c r="A86" s="17" t="s">
        <v>342</v>
      </c>
      <c r="B86" s="18" t="s">
        <v>91</v>
      </c>
      <c r="C86" s="18" t="s">
        <v>12</v>
      </c>
      <c r="D86" s="17" t="s">
        <v>343</v>
      </c>
      <c r="E86" s="23" t="s">
        <v>28</v>
      </c>
      <c r="F86" s="17"/>
      <c r="G86" s="17" t="s">
        <v>344</v>
      </c>
      <c r="H86" s="17" t="s">
        <v>265</v>
      </c>
      <c r="I86" s="17"/>
      <c r="J86" s="17"/>
      <c r="K86" s="17" t="s">
        <v>65</v>
      </c>
      <c r="L86" s="17" t="n">
        <v>61</v>
      </c>
      <c r="M86" s="17" t="n">
        <v>9.2</v>
      </c>
      <c r="N86" s="17"/>
      <c r="O86" s="17"/>
    </row>
    <row r="87" customFormat="false" ht="35.05" hidden="false" customHeight="false" outlineLevel="0" collapsed="false">
      <c r="A87" s="17" t="s">
        <v>345</v>
      </c>
      <c r="B87" s="18" t="s">
        <v>91</v>
      </c>
      <c r="C87" s="18" t="s">
        <v>12</v>
      </c>
      <c r="D87" s="17" t="s">
        <v>346</v>
      </c>
      <c r="E87" s="23" t="s">
        <v>28</v>
      </c>
      <c r="F87" s="17"/>
      <c r="G87" s="17" t="s">
        <v>347</v>
      </c>
      <c r="H87" s="17" t="s">
        <v>265</v>
      </c>
      <c r="I87" s="17"/>
      <c r="J87" s="17"/>
      <c r="K87" s="17" t="s">
        <v>65</v>
      </c>
      <c r="L87" s="17" t="n">
        <v>61</v>
      </c>
      <c r="M87" s="17" t="n">
        <v>10.4</v>
      </c>
      <c r="N87" s="17"/>
      <c r="O87" s="17"/>
    </row>
    <row r="88" customFormat="false" ht="35.05" hidden="false" customHeight="false" outlineLevel="0" collapsed="false">
      <c r="A88" s="17" t="s">
        <v>348</v>
      </c>
      <c r="B88" s="18" t="s">
        <v>91</v>
      </c>
      <c r="C88" s="18" t="s">
        <v>12</v>
      </c>
      <c r="D88" s="17" t="s">
        <v>349</v>
      </c>
      <c r="E88" s="23" t="s">
        <v>28</v>
      </c>
      <c r="F88" s="17"/>
      <c r="G88" s="17" t="s">
        <v>350</v>
      </c>
      <c r="H88" s="17" t="s">
        <v>265</v>
      </c>
      <c r="I88" s="17"/>
      <c r="J88" s="17"/>
      <c r="K88" s="17" t="s">
        <v>67</v>
      </c>
      <c r="L88" s="17" t="n">
        <v>142</v>
      </c>
      <c r="M88" s="17" t="n">
        <v>0</v>
      </c>
      <c r="N88" s="17"/>
      <c r="O88" s="17"/>
    </row>
    <row r="89" customFormat="false" ht="23.85" hidden="false" customHeight="false" outlineLevel="0" collapsed="false">
      <c r="A89" s="17" t="s">
        <v>351</v>
      </c>
      <c r="B89" s="18" t="s">
        <v>91</v>
      </c>
      <c r="C89" s="18" t="s">
        <v>12</v>
      </c>
      <c r="D89" s="17" t="s">
        <v>352</v>
      </c>
      <c r="E89" s="23" t="s">
        <v>28</v>
      </c>
      <c r="F89" s="17"/>
      <c r="G89" s="17" t="s">
        <v>353</v>
      </c>
      <c r="H89" s="17" t="s">
        <v>265</v>
      </c>
      <c r="I89" s="17"/>
      <c r="J89" s="17"/>
      <c r="K89" s="17" t="s">
        <v>67</v>
      </c>
      <c r="L89" s="17" t="n">
        <v>172</v>
      </c>
      <c r="M89" s="17" t="n">
        <v>0</v>
      </c>
      <c r="N89" s="17"/>
      <c r="O89" s="17"/>
    </row>
    <row r="90" customFormat="false" ht="23.85" hidden="false" customHeight="false" outlineLevel="0" collapsed="false">
      <c r="A90" s="17" t="s">
        <v>354</v>
      </c>
      <c r="B90" s="18" t="s">
        <v>91</v>
      </c>
      <c r="C90" s="18" t="s">
        <v>12</v>
      </c>
      <c r="D90" s="17" t="s">
        <v>355</v>
      </c>
      <c r="E90" s="23" t="s">
        <v>28</v>
      </c>
      <c r="F90" s="17"/>
      <c r="G90" s="17" t="s">
        <v>356</v>
      </c>
      <c r="H90" s="17" t="s">
        <v>265</v>
      </c>
      <c r="I90" s="17"/>
      <c r="J90" s="17"/>
      <c r="K90" s="17" t="s">
        <v>67</v>
      </c>
      <c r="L90" s="17" t="n">
        <v>172</v>
      </c>
      <c r="M90" s="17" t="n">
        <v>0</v>
      </c>
      <c r="N90" s="17"/>
      <c r="O90" s="17"/>
    </row>
    <row r="91" customFormat="false" ht="23.85" hidden="false" customHeight="false" outlineLevel="0" collapsed="false">
      <c r="A91" s="17" t="s">
        <v>357</v>
      </c>
      <c r="B91" s="18" t="s">
        <v>91</v>
      </c>
      <c r="C91" s="18" t="s">
        <v>12</v>
      </c>
      <c r="D91" s="17" t="s">
        <v>358</v>
      </c>
      <c r="E91" s="23" t="s">
        <v>28</v>
      </c>
      <c r="F91" s="17"/>
      <c r="G91" s="17" t="s">
        <v>359</v>
      </c>
      <c r="H91" s="17" t="s">
        <v>265</v>
      </c>
      <c r="I91" s="17"/>
      <c r="J91" s="17"/>
      <c r="K91" s="17" t="s">
        <v>67</v>
      </c>
      <c r="L91" s="17" t="n">
        <v>201</v>
      </c>
      <c r="M91" s="17" t="n">
        <v>6.7</v>
      </c>
      <c r="N91" s="17"/>
      <c r="O91" s="17"/>
    </row>
    <row r="92" customFormat="false" ht="23.85" hidden="false" customHeight="false" outlineLevel="0" collapsed="false">
      <c r="A92" s="17" t="s">
        <v>360</v>
      </c>
      <c r="B92" s="18" t="s">
        <v>91</v>
      </c>
      <c r="C92" s="18" t="s">
        <v>12</v>
      </c>
      <c r="D92" s="17" t="s">
        <v>361</v>
      </c>
      <c r="E92" s="23" t="s">
        <v>28</v>
      </c>
      <c r="F92" s="17"/>
      <c r="G92" s="17" t="s">
        <v>362</v>
      </c>
      <c r="H92" s="17" t="s">
        <v>265</v>
      </c>
      <c r="I92" s="17"/>
      <c r="J92" s="17"/>
      <c r="K92" s="17" t="s">
        <v>67</v>
      </c>
      <c r="L92" s="17" t="n">
        <v>213</v>
      </c>
      <c r="M92" s="17" t="n">
        <v>4</v>
      </c>
      <c r="N92" s="17"/>
      <c r="O92" s="17"/>
    </row>
    <row r="93" customFormat="false" ht="23.85" hidden="false" customHeight="false" outlineLevel="0" collapsed="false">
      <c r="A93" s="17" t="s">
        <v>363</v>
      </c>
      <c r="B93" s="18" t="s">
        <v>91</v>
      </c>
      <c r="C93" s="18" t="s">
        <v>12</v>
      </c>
      <c r="D93" s="17" t="s">
        <v>364</v>
      </c>
      <c r="E93" s="23" t="s">
        <v>28</v>
      </c>
      <c r="F93" s="17"/>
      <c r="G93" s="17" t="s">
        <v>365</v>
      </c>
      <c r="H93" s="17" t="s">
        <v>265</v>
      </c>
      <c r="I93" s="17"/>
      <c r="J93" s="17"/>
      <c r="K93" s="17" t="s">
        <v>67</v>
      </c>
      <c r="L93" s="17" t="n">
        <v>227</v>
      </c>
      <c r="M93" s="17" t="n">
        <v>11.4</v>
      </c>
      <c r="N93" s="17"/>
      <c r="O93" s="17"/>
    </row>
    <row r="94" customFormat="false" ht="23.85" hidden="false" customHeight="false" outlineLevel="0" collapsed="false">
      <c r="A94" s="17" t="s">
        <v>366</v>
      </c>
      <c r="B94" s="18" t="s">
        <v>91</v>
      </c>
      <c r="C94" s="18" t="s">
        <v>12</v>
      </c>
      <c r="D94" s="17" t="s">
        <v>367</v>
      </c>
      <c r="E94" s="23" t="s">
        <v>28</v>
      </c>
      <c r="F94" s="17"/>
      <c r="G94" s="17" t="s">
        <v>368</v>
      </c>
      <c r="H94" s="17" t="s">
        <v>265</v>
      </c>
      <c r="I94" s="17"/>
      <c r="J94" s="17"/>
      <c r="K94" s="17" t="s">
        <v>67</v>
      </c>
      <c r="L94" s="17" t="n">
        <v>278</v>
      </c>
      <c r="M94" s="17" t="n">
        <v>0</v>
      </c>
      <c r="N94" s="17"/>
      <c r="O94" s="17"/>
    </row>
    <row r="95" customFormat="false" ht="23.85" hidden="false" customHeight="false" outlineLevel="0" collapsed="false">
      <c r="A95" s="17" t="s">
        <v>369</v>
      </c>
      <c r="B95" s="18" t="s">
        <v>91</v>
      </c>
      <c r="C95" s="18" t="s">
        <v>12</v>
      </c>
      <c r="D95" s="17" t="s">
        <v>370</v>
      </c>
      <c r="E95" s="23" t="s">
        <v>28</v>
      </c>
      <c r="F95" s="17"/>
      <c r="G95" s="17" t="s">
        <v>371</v>
      </c>
      <c r="H95" s="17" t="s">
        <v>265</v>
      </c>
      <c r="I95" s="17"/>
      <c r="J95" s="17"/>
      <c r="K95" s="17" t="s">
        <v>68</v>
      </c>
      <c r="L95" s="17" t="n">
        <v>116</v>
      </c>
      <c r="M95" s="17" t="n">
        <v>106</v>
      </c>
      <c r="N95" s="17"/>
      <c r="O95" s="17"/>
    </row>
    <row r="96" customFormat="false" ht="23.85" hidden="false" customHeight="false" outlineLevel="0" collapsed="false">
      <c r="A96" s="17" t="s">
        <v>372</v>
      </c>
      <c r="B96" s="18" t="s">
        <v>91</v>
      </c>
      <c r="C96" s="18" t="s">
        <v>12</v>
      </c>
      <c r="D96" s="17" t="s">
        <v>373</v>
      </c>
      <c r="E96" s="23" t="s">
        <v>28</v>
      </c>
      <c r="F96" s="17"/>
      <c r="G96" s="17" t="s">
        <v>374</v>
      </c>
      <c r="H96" s="17" t="s">
        <v>265</v>
      </c>
      <c r="I96" s="17"/>
      <c r="J96" s="17"/>
      <c r="K96" s="17" t="s">
        <v>68</v>
      </c>
      <c r="L96" s="17" t="n">
        <v>116</v>
      </c>
      <c r="M96" s="17" t="n">
        <v>106.5</v>
      </c>
      <c r="N96" s="17"/>
      <c r="O96" s="17"/>
    </row>
    <row r="97" customFormat="false" ht="23.85" hidden="false" customHeight="false" outlineLevel="0" collapsed="false">
      <c r="A97" s="17" t="s">
        <v>375</v>
      </c>
      <c r="B97" s="18" t="s">
        <v>91</v>
      </c>
      <c r="C97" s="18" t="s">
        <v>12</v>
      </c>
      <c r="D97" s="17" t="s">
        <v>376</v>
      </c>
      <c r="E97" s="23" t="s">
        <v>28</v>
      </c>
      <c r="F97" s="17"/>
      <c r="G97" s="17" t="s">
        <v>377</v>
      </c>
      <c r="H97" s="17" t="s">
        <v>265</v>
      </c>
      <c r="I97" s="17"/>
      <c r="J97" s="17"/>
      <c r="K97" s="17" t="s">
        <v>68</v>
      </c>
      <c r="L97" s="17" t="n">
        <v>116</v>
      </c>
      <c r="M97" s="17" t="n">
        <v>106.4</v>
      </c>
      <c r="N97" s="17"/>
      <c r="O97" s="17"/>
    </row>
    <row r="98" customFormat="false" ht="23.85" hidden="false" customHeight="false" outlineLevel="0" collapsed="false">
      <c r="A98" s="17" t="s">
        <v>378</v>
      </c>
      <c r="B98" s="18" t="s">
        <v>91</v>
      </c>
      <c r="C98" s="18" t="s">
        <v>12</v>
      </c>
      <c r="D98" s="17" t="s">
        <v>379</v>
      </c>
      <c r="E98" s="23" t="s">
        <v>28</v>
      </c>
      <c r="F98" s="17"/>
      <c r="G98" s="17" t="s">
        <v>380</v>
      </c>
      <c r="H98" s="17" t="s">
        <v>265</v>
      </c>
      <c r="I98" s="17"/>
      <c r="J98" s="17"/>
      <c r="K98" s="17" t="s">
        <v>68</v>
      </c>
      <c r="L98" s="17" t="n">
        <v>133</v>
      </c>
      <c r="M98" s="17" t="n">
        <v>6.5</v>
      </c>
      <c r="N98" s="17"/>
      <c r="O98" s="17"/>
    </row>
    <row r="99" customFormat="false" ht="23.85" hidden="false" customHeight="false" outlineLevel="0" collapsed="false">
      <c r="A99" s="17" t="s">
        <v>189</v>
      </c>
      <c r="B99" s="18" t="s">
        <v>91</v>
      </c>
      <c r="C99" s="18" t="s">
        <v>12</v>
      </c>
      <c r="D99" s="17" t="s">
        <v>381</v>
      </c>
      <c r="E99" s="23" t="s">
        <v>28</v>
      </c>
      <c r="F99" s="17"/>
      <c r="G99" s="17" t="s">
        <v>382</v>
      </c>
      <c r="H99" s="17" t="s">
        <v>265</v>
      </c>
      <c r="I99" s="17"/>
      <c r="J99" s="17"/>
      <c r="K99" s="17" t="s">
        <v>68</v>
      </c>
      <c r="L99" s="17" t="n">
        <v>156</v>
      </c>
      <c r="M99" s="17" t="n">
        <v>6.8</v>
      </c>
      <c r="N99" s="17"/>
      <c r="O99" s="17"/>
    </row>
    <row r="100" customFormat="false" ht="23.85" hidden="false" customHeight="false" outlineLevel="0" collapsed="false">
      <c r="A100" s="17" t="s">
        <v>383</v>
      </c>
      <c r="B100" s="18" t="s">
        <v>91</v>
      </c>
      <c r="C100" s="18" t="s">
        <v>12</v>
      </c>
      <c r="D100" s="17" t="s">
        <v>384</v>
      </c>
      <c r="E100" s="23" t="s">
        <v>28</v>
      </c>
      <c r="F100" s="17"/>
      <c r="G100" s="17" t="s">
        <v>385</v>
      </c>
      <c r="H100" s="17" t="s">
        <v>265</v>
      </c>
      <c r="I100" s="17"/>
      <c r="J100" s="17"/>
      <c r="K100" s="17" t="s">
        <v>68</v>
      </c>
      <c r="L100" s="17" t="n">
        <v>166</v>
      </c>
      <c r="M100" s="17" t="n">
        <v>6.9</v>
      </c>
      <c r="N100" s="17"/>
      <c r="O100" s="17"/>
    </row>
    <row r="101" customFormat="false" ht="23.85" hidden="false" customHeight="false" outlineLevel="0" collapsed="false">
      <c r="A101" s="17" t="s">
        <v>386</v>
      </c>
      <c r="B101" s="18" t="s">
        <v>91</v>
      </c>
      <c r="C101" s="18" t="s">
        <v>12</v>
      </c>
      <c r="D101" s="17" t="s">
        <v>387</v>
      </c>
      <c r="E101" s="23" t="s">
        <v>28</v>
      </c>
      <c r="F101" s="17"/>
      <c r="G101" s="17" t="s">
        <v>388</v>
      </c>
      <c r="H101" s="17" t="s">
        <v>265</v>
      </c>
      <c r="I101" s="17"/>
      <c r="J101" s="17"/>
      <c r="K101" s="17" t="s">
        <v>69</v>
      </c>
      <c r="L101" s="17" t="n">
        <v>184</v>
      </c>
      <c r="M101" s="17" t="n">
        <v>46.7</v>
      </c>
      <c r="N101" s="17"/>
      <c r="O101" s="17"/>
    </row>
    <row r="102" customFormat="false" ht="23.85" hidden="false" customHeight="false" outlineLevel="0" collapsed="false">
      <c r="A102" s="17" t="s">
        <v>389</v>
      </c>
      <c r="B102" s="18" t="s">
        <v>91</v>
      </c>
      <c r="C102" s="18" t="s">
        <v>12</v>
      </c>
      <c r="D102" s="17" t="s">
        <v>390</v>
      </c>
      <c r="E102" s="23" t="s">
        <v>28</v>
      </c>
      <c r="F102" s="17"/>
      <c r="G102" s="17" t="s">
        <v>391</v>
      </c>
      <c r="H102" s="17" t="s">
        <v>265</v>
      </c>
      <c r="I102" s="17"/>
      <c r="J102" s="17"/>
      <c r="K102" s="17" t="s">
        <v>69</v>
      </c>
      <c r="L102" s="17" t="n">
        <v>245</v>
      </c>
      <c r="M102" s="17" t="n">
        <v>0.6</v>
      </c>
      <c r="N102" s="17"/>
      <c r="O102" s="17"/>
    </row>
    <row r="103" customFormat="false" ht="23.85" hidden="false" customHeight="false" outlineLevel="0" collapsed="false">
      <c r="A103" s="17" t="s">
        <v>119</v>
      </c>
      <c r="B103" s="18" t="s">
        <v>91</v>
      </c>
      <c r="C103" s="18" t="s">
        <v>12</v>
      </c>
      <c r="D103" s="17" t="s">
        <v>392</v>
      </c>
      <c r="E103" s="23" t="s">
        <v>28</v>
      </c>
      <c r="F103" s="17"/>
      <c r="G103" s="17" t="s">
        <v>393</v>
      </c>
      <c r="H103" s="17" t="s">
        <v>265</v>
      </c>
      <c r="I103" s="17"/>
      <c r="J103" s="17"/>
      <c r="K103" s="17" t="s">
        <v>69</v>
      </c>
      <c r="L103" s="17" t="n">
        <v>268</v>
      </c>
      <c r="M103" s="17" t="n">
        <v>0.8</v>
      </c>
      <c r="N103" s="17"/>
      <c r="O103" s="17"/>
    </row>
    <row r="104" customFormat="false" ht="23.85" hidden="false" customHeight="false" outlineLevel="0" collapsed="false">
      <c r="A104" s="17" t="s">
        <v>394</v>
      </c>
      <c r="B104" s="18" t="s">
        <v>91</v>
      </c>
      <c r="C104" s="18" t="s">
        <v>12</v>
      </c>
      <c r="D104" s="17" t="s">
        <v>395</v>
      </c>
      <c r="E104" s="23" t="s">
        <v>28</v>
      </c>
      <c r="F104" s="17"/>
      <c r="G104" s="17" t="s">
        <v>396</v>
      </c>
      <c r="H104" s="17" t="s">
        <v>265</v>
      </c>
      <c r="I104" s="17"/>
      <c r="J104" s="17"/>
      <c r="K104" s="17" t="s">
        <v>69</v>
      </c>
      <c r="L104" s="17" t="n">
        <v>294</v>
      </c>
      <c r="M104" s="17" t="n">
        <v>6.4</v>
      </c>
      <c r="N104" s="17"/>
      <c r="O104" s="17"/>
    </row>
    <row r="105" customFormat="false" ht="23.85" hidden="false" customHeight="false" outlineLevel="0" collapsed="false">
      <c r="A105" s="17" t="s">
        <v>397</v>
      </c>
      <c r="B105" s="18" t="s">
        <v>91</v>
      </c>
      <c r="C105" s="18" t="s">
        <v>12</v>
      </c>
      <c r="D105" s="17" t="s">
        <v>398</v>
      </c>
      <c r="E105" s="23" t="s">
        <v>28</v>
      </c>
      <c r="F105" s="17"/>
      <c r="G105" s="17" t="s">
        <v>396</v>
      </c>
      <c r="H105" s="17" t="s">
        <v>265</v>
      </c>
      <c r="I105" s="17"/>
      <c r="J105" s="17"/>
      <c r="K105" s="17" t="s">
        <v>69</v>
      </c>
      <c r="L105" s="17" t="n">
        <v>294</v>
      </c>
      <c r="M105" s="17" t="n">
        <v>6.5</v>
      </c>
      <c r="N105" s="17"/>
      <c r="O105" s="17"/>
    </row>
    <row r="106" customFormat="false" ht="23.85" hidden="false" customHeight="false" outlineLevel="0" collapsed="false">
      <c r="A106" s="17" t="s">
        <v>227</v>
      </c>
      <c r="B106" s="18" t="s">
        <v>91</v>
      </c>
      <c r="C106" s="18" t="s">
        <v>12</v>
      </c>
      <c r="D106" s="17" t="s">
        <v>399</v>
      </c>
      <c r="E106" s="23" t="s">
        <v>28</v>
      </c>
      <c r="F106" s="17"/>
      <c r="G106" s="17" t="s">
        <v>400</v>
      </c>
      <c r="H106" s="17" t="s">
        <v>265</v>
      </c>
      <c r="I106" s="17"/>
      <c r="J106" s="17"/>
      <c r="K106" s="17" t="s">
        <v>71</v>
      </c>
      <c r="L106" s="17" t="n">
        <v>218</v>
      </c>
      <c r="M106" s="17" t="n">
        <v>9.2</v>
      </c>
      <c r="N106" s="17"/>
      <c r="O106" s="17"/>
    </row>
    <row r="107" customFormat="false" ht="23.85" hidden="false" customHeight="false" outlineLevel="0" collapsed="false">
      <c r="A107" s="17" t="s">
        <v>136</v>
      </c>
      <c r="B107" s="18" t="s">
        <v>91</v>
      </c>
      <c r="C107" s="18" t="s">
        <v>12</v>
      </c>
      <c r="D107" s="17" t="s">
        <v>401</v>
      </c>
      <c r="E107" s="23" t="s">
        <v>28</v>
      </c>
      <c r="F107" s="17"/>
      <c r="G107" s="17" t="s">
        <v>402</v>
      </c>
      <c r="H107" s="17" t="s">
        <v>265</v>
      </c>
      <c r="I107" s="17"/>
      <c r="J107" s="17"/>
      <c r="K107" s="17" t="s">
        <v>71</v>
      </c>
      <c r="L107" s="17" t="n">
        <v>218</v>
      </c>
      <c r="M107" s="17" t="n">
        <v>9.1</v>
      </c>
      <c r="N107" s="17"/>
      <c r="O107" s="17"/>
    </row>
    <row r="108" customFormat="false" ht="23.85" hidden="false" customHeight="false" outlineLevel="0" collapsed="false">
      <c r="A108" s="17" t="s">
        <v>403</v>
      </c>
      <c r="B108" s="18" t="s">
        <v>91</v>
      </c>
      <c r="C108" s="18" t="s">
        <v>12</v>
      </c>
      <c r="D108" s="17" t="s">
        <v>404</v>
      </c>
      <c r="E108" s="23" t="s">
        <v>28</v>
      </c>
      <c r="F108" s="17"/>
      <c r="G108" s="17" t="s">
        <v>405</v>
      </c>
      <c r="H108" s="17" t="s">
        <v>265</v>
      </c>
      <c r="I108" s="17"/>
      <c r="J108" s="17"/>
      <c r="K108" s="17" t="s">
        <v>71</v>
      </c>
      <c r="L108" s="17" t="n">
        <v>231</v>
      </c>
      <c r="M108" s="17" t="n">
        <v>0.2</v>
      </c>
      <c r="N108" s="17"/>
      <c r="O108" s="17"/>
    </row>
    <row r="109" customFormat="false" ht="23.85" hidden="false" customHeight="false" outlineLevel="0" collapsed="false">
      <c r="A109" s="17" t="s">
        <v>406</v>
      </c>
      <c r="B109" s="18" t="s">
        <v>91</v>
      </c>
      <c r="C109" s="18" t="s">
        <v>12</v>
      </c>
      <c r="D109" s="17" t="s">
        <v>407</v>
      </c>
      <c r="E109" s="23" t="s">
        <v>28</v>
      </c>
      <c r="F109" s="17"/>
      <c r="G109" s="17" t="s">
        <v>408</v>
      </c>
      <c r="H109" s="17" t="s">
        <v>265</v>
      </c>
      <c r="I109" s="17"/>
      <c r="J109" s="17"/>
      <c r="K109" s="17" t="s">
        <v>71</v>
      </c>
      <c r="L109" s="17" t="n">
        <v>270</v>
      </c>
      <c r="M109" s="17" t="n">
        <v>6.9</v>
      </c>
      <c r="N109" s="17"/>
      <c r="O109" s="17"/>
    </row>
    <row r="110" customFormat="false" ht="23.85" hidden="false" customHeight="false" outlineLevel="0" collapsed="false">
      <c r="A110" s="17" t="s">
        <v>409</v>
      </c>
      <c r="B110" s="18" t="s">
        <v>91</v>
      </c>
      <c r="C110" s="18" t="s">
        <v>12</v>
      </c>
      <c r="D110" s="17" t="s">
        <v>410</v>
      </c>
      <c r="E110" s="23" t="s">
        <v>28</v>
      </c>
      <c r="F110" s="17"/>
      <c r="G110" s="17" t="s">
        <v>411</v>
      </c>
      <c r="H110" s="17" t="s">
        <v>265</v>
      </c>
      <c r="I110" s="17"/>
      <c r="J110" s="17"/>
      <c r="K110" s="17" t="s">
        <v>72</v>
      </c>
      <c r="L110" s="17" t="n">
        <v>237</v>
      </c>
      <c r="M110" s="17" t="n">
        <v>0.4</v>
      </c>
      <c r="N110" s="17"/>
      <c r="O110" s="17"/>
    </row>
    <row r="111" customFormat="false" ht="23.85" hidden="false" customHeight="false" outlineLevel="0" collapsed="false">
      <c r="A111" s="17" t="s">
        <v>108</v>
      </c>
      <c r="B111" s="18" t="s">
        <v>91</v>
      </c>
      <c r="C111" s="18" t="s">
        <v>12</v>
      </c>
      <c r="D111" s="17" t="s">
        <v>412</v>
      </c>
      <c r="E111" s="23" t="s">
        <v>28</v>
      </c>
      <c r="F111" s="17"/>
      <c r="G111" s="17" t="s">
        <v>413</v>
      </c>
      <c r="H111" s="17" t="s">
        <v>265</v>
      </c>
      <c r="I111" s="17"/>
      <c r="J111" s="17"/>
      <c r="K111" s="17" t="s">
        <v>73</v>
      </c>
      <c r="L111" s="17" t="n">
        <v>109</v>
      </c>
      <c r="M111" s="17" t="n">
        <v>9.4</v>
      </c>
      <c r="N111" s="17"/>
      <c r="O111" s="17"/>
    </row>
    <row r="112" customFormat="false" ht="23.85" hidden="false" customHeight="false" outlineLevel="0" collapsed="false">
      <c r="A112" s="17" t="s">
        <v>414</v>
      </c>
      <c r="B112" s="18" t="s">
        <v>91</v>
      </c>
      <c r="C112" s="18" t="s">
        <v>12</v>
      </c>
      <c r="D112" s="17" t="s">
        <v>415</v>
      </c>
      <c r="E112" s="23" t="s">
        <v>28</v>
      </c>
      <c r="F112" s="17"/>
      <c r="G112" s="17" t="s">
        <v>416</v>
      </c>
      <c r="H112" s="17" t="s">
        <v>265</v>
      </c>
      <c r="I112" s="17"/>
      <c r="J112" s="17"/>
      <c r="K112" s="17" t="s">
        <v>73</v>
      </c>
      <c r="L112" s="17" t="n">
        <v>109</v>
      </c>
      <c r="M112" s="17" t="n">
        <v>9.3</v>
      </c>
      <c r="N112" s="17"/>
      <c r="O112" s="17"/>
    </row>
    <row r="113" customFormat="false" ht="23.85" hidden="false" customHeight="false" outlineLevel="0" collapsed="false">
      <c r="A113" s="17" t="s">
        <v>417</v>
      </c>
      <c r="B113" s="18" t="s">
        <v>91</v>
      </c>
      <c r="C113" s="18" t="s">
        <v>12</v>
      </c>
      <c r="D113" s="17" t="s">
        <v>418</v>
      </c>
      <c r="E113" s="23" t="s">
        <v>28</v>
      </c>
      <c r="F113" s="17"/>
      <c r="G113" s="17" t="s">
        <v>419</v>
      </c>
      <c r="H113" s="17" t="s">
        <v>265</v>
      </c>
      <c r="I113" s="17"/>
      <c r="J113" s="17"/>
      <c r="K113" s="17" t="s">
        <v>73</v>
      </c>
      <c r="L113" s="17" t="n">
        <v>109</v>
      </c>
      <c r="M113" s="17" t="n">
        <v>9.4</v>
      </c>
      <c r="N113" s="17"/>
      <c r="O113" s="17"/>
    </row>
    <row r="114" customFormat="false" ht="23.85" hidden="false" customHeight="false" outlineLevel="0" collapsed="false">
      <c r="A114" s="17" t="s">
        <v>420</v>
      </c>
      <c r="B114" s="18" t="s">
        <v>91</v>
      </c>
      <c r="C114" s="18" t="s">
        <v>12</v>
      </c>
      <c r="D114" s="17" t="s">
        <v>421</v>
      </c>
      <c r="E114" s="23" t="s">
        <v>28</v>
      </c>
      <c r="F114" s="17"/>
      <c r="G114" s="17" t="s">
        <v>422</v>
      </c>
      <c r="H114" s="17" t="s">
        <v>265</v>
      </c>
      <c r="I114" s="17"/>
      <c r="J114" s="17"/>
      <c r="K114" s="17" t="s">
        <v>73</v>
      </c>
      <c r="L114" s="17" t="n">
        <v>109</v>
      </c>
      <c r="M114" s="17" t="n">
        <v>9.3</v>
      </c>
      <c r="N114" s="17"/>
      <c r="O114" s="17"/>
    </row>
    <row r="115" customFormat="false" ht="23.85" hidden="false" customHeight="false" outlineLevel="0" collapsed="false">
      <c r="A115" s="17" t="s">
        <v>423</v>
      </c>
      <c r="B115" s="18" t="s">
        <v>91</v>
      </c>
      <c r="C115" s="18" t="s">
        <v>12</v>
      </c>
      <c r="D115" s="17" t="s">
        <v>424</v>
      </c>
      <c r="E115" s="23" t="s">
        <v>28</v>
      </c>
      <c r="F115" s="17"/>
      <c r="G115" s="17" t="s">
        <v>425</v>
      </c>
      <c r="H115" s="17" t="s">
        <v>265</v>
      </c>
      <c r="I115" s="17"/>
      <c r="J115" s="17"/>
      <c r="K115" s="17" t="s">
        <v>73</v>
      </c>
      <c r="L115" s="17" t="n">
        <v>109</v>
      </c>
      <c r="M115" s="17" t="n">
        <v>9.4</v>
      </c>
      <c r="N115" s="17"/>
      <c r="O115" s="17"/>
    </row>
    <row r="116" customFormat="false" ht="23.85" hidden="false" customHeight="false" outlineLevel="0" collapsed="false">
      <c r="A116" s="17" t="s">
        <v>127</v>
      </c>
      <c r="B116" s="18" t="s">
        <v>91</v>
      </c>
      <c r="C116" s="18" t="s">
        <v>12</v>
      </c>
      <c r="D116" s="17" t="s">
        <v>426</v>
      </c>
      <c r="E116" s="23" t="s">
        <v>28</v>
      </c>
      <c r="F116" s="17"/>
      <c r="G116" s="17" t="s">
        <v>427</v>
      </c>
      <c r="H116" s="17" t="s">
        <v>265</v>
      </c>
      <c r="I116" s="17"/>
      <c r="J116" s="17"/>
      <c r="K116" s="17" t="s">
        <v>73</v>
      </c>
      <c r="L116" s="17" t="n">
        <v>160</v>
      </c>
      <c r="M116" s="17" t="n">
        <v>2.9</v>
      </c>
      <c r="N116" s="17"/>
      <c r="O116" s="17"/>
    </row>
    <row r="117" customFormat="false" ht="23.85" hidden="false" customHeight="false" outlineLevel="0" collapsed="false">
      <c r="A117" s="17" t="s">
        <v>130</v>
      </c>
      <c r="B117" s="18" t="s">
        <v>91</v>
      </c>
      <c r="C117" s="18" t="s">
        <v>12</v>
      </c>
      <c r="D117" s="17" t="s">
        <v>428</v>
      </c>
      <c r="E117" s="23" t="s">
        <v>28</v>
      </c>
      <c r="F117" s="17"/>
      <c r="G117" s="17" t="s">
        <v>429</v>
      </c>
      <c r="H117" s="17" t="s">
        <v>265</v>
      </c>
      <c r="I117" s="17"/>
      <c r="J117" s="17"/>
      <c r="K117" s="17" t="s">
        <v>73</v>
      </c>
      <c r="L117" s="17" t="n">
        <v>160</v>
      </c>
      <c r="M117" s="17" t="n">
        <v>7</v>
      </c>
      <c r="N117" s="17"/>
      <c r="O117" s="17"/>
    </row>
    <row r="118" customFormat="false" ht="23.85" hidden="false" customHeight="false" outlineLevel="0" collapsed="false">
      <c r="A118" s="17" t="s">
        <v>430</v>
      </c>
      <c r="B118" s="18" t="s">
        <v>91</v>
      </c>
      <c r="C118" s="18" t="s">
        <v>12</v>
      </c>
      <c r="D118" s="17" t="s">
        <v>431</v>
      </c>
      <c r="E118" s="23" t="s">
        <v>28</v>
      </c>
      <c r="F118" s="17"/>
      <c r="G118" s="17" t="s">
        <v>432</v>
      </c>
      <c r="H118" s="17" t="s">
        <v>265</v>
      </c>
      <c r="I118" s="17"/>
      <c r="J118" s="17"/>
      <c r="K118" s="17" t="s">
        <v>73</v>
      </c>
      <c r="L118" s="17" t="n">
        <v>160</v>
      </c>
      <c r="M118" s="17" t="n">
        <v>1.6</v>
      </c>
      <c r="N118" s="17"/>
      <c r="O118" s="17"/>
    </row>
    <row r="119" customFormat="false" ht="23.85" hidden="false" customHeight="false" outlineLevel="0" collapsed="false">
      <c r="A119" s="17" t="s">
        <v>433</v>
      </c>
      <c r="B119" s="18" t="s">
        <v>91</v>
      </c>
      <c r="C119" s="18" t="s">
        <v>12</v>
      </c>
      <c r="D119" s="17" t="s">
        <v>434</v>
      </c>
      <c r="E119" s="23" t="s">
        <v>28</v>
      </c>
      <c r="F119" s="17"/>
      <c r="G119" s="17" t="s">
        <v>435</v>
      </c>
      <c r="H119" s="17" t="s">
        <v>265</v>
      </c>
      <c r="I119" s="17"/>
      <c r="J119" s="17"/>
      <c r="K119" s="17" t="s">
        <v>73</v>
      </c>
      <c r="L119" s="17" t="n">
        <v>160</v>
      </c>
      <c r="M119" s="17" t="n">
        <v>0.4</v>
      </c>
      <c r="N119" s="17"/>
      <c r="O119" s="17"/>
    </row>
    <row r="120" customFormat="false" ht="23.85" hidden="false" customHeight="false" outlineLevel="0" collapsed="false">
      <c r="A120" s="17" t="s">
        <v>436</v>
      </c>
      <c r="B120" s="18" t="s">
        <v>91</v>
      </c>
      <c r="C120" s="18" t="s">
        <v>12</v>
      </c>
      <c r="D120" s="17" t="s">
        <v>437</v>
      </c>
      <c r="E120" s="23" t="s">
        <v>28</v>
      </c>
      <c r="F120" s="17"/>
      <c r="G120" s="17" t="s">
        <v>438</v>
      </c>
      <c r="H120" s="17" t="s">
        <v>265</v>
      </c>
      <c r="I120" s="17"/>
      <c r="J120" s="17"/>
      <c r="K120" s="17" t="s">
        <v>73</v>
      </c>
      <c r="L120" s="17" t="n">
        <v>222</v>
      </c>
      <c r="M120" s="17" t="n">
        <v>18.1</v>
      </c>
      <c r="N120" s="17"/>
      <c r="O120" s="17"/>
    </row>
    <row r="121" customFormat="false" ht="23.85" hidden="false" customHeight="false" outlineLevel="0" collapsed="false">
      <c r="A121" s="17" t="s">
        <v>439</v>
      </c>
      <c r="B121" s="18" t="s">
        <v>91</v>
      </c>
      <c r="C121" s="18" t="s">
        <v>12</v>
      </c>
      <c r="D121" s="17" t="s">
        <v>440</v>
      </c>
      <c r="E121" s="23" t="s">
        <v>28</v>
      </c>
      <c r="F121" s="17"/>
      <c r="G121" s="17" t="s">
        <v>441</v>
      </c>
      <c r="H121" s="17" t="s">
        <v>265</v>
      </c>
      <c r="I121" s="17"/>
      <c r="J121" s="17"/>
      <c r="K121" s="17" t="s">
        <v>74</v>
      </c>
      <c r="L121" s="17" t="n">
        <v>94</v>
      </c>
      <c r="M121" s="17" t="n">
        <v>6.8</v>
      </c>
      <c r="N121" s="17"/>
      <c r="O121" s="17"/>
    </row>
    <row r="122" customFormat="false" ht="23.85" hidden="false" customHeight="false" outlineLevel="0" collapsed="false">
      <c r="A122" s="17" t="s">
        <v>442</v>
      </c>
      <c r="B122" s="18" t="s">
        <v>91</v>
      </c>
      <c r="C122" s="18" t="s">
        <v>12</v>
      </c>
      <c r="D122" s="17" t="s">
        <v>443</v>
      </c>
      <c r="E122" s="23" t="s">
        <v>28</v>
      </c>
      <c r="F122" s="17"/>
      <c r="G122" s="17" t="s">
        <v>441</v>
      </c>
      <c r="H122" s="17" t="s">
        <v>265</v>
      </c>
      <c r="I122" s="17"/>
      <c r="J122" s="17"/>
      <c r="K122" s="17" t="s">
        <v>74</v>
      </c>
      <c r="L122" s="17" t="n">
        <v>94</v>
      </c>
      <c r="M122" s="17" t="n">
        <v>7</v>
      </c>
      <c r="N122" s="17"/>
      <c r="O122" s="17"/>
    </row>
    <row r="123" customFormat="false" ht="15" hidden="false" customHeight="false" outlineLevel="0" collapsed="false">
      <c r="A123" s="17" t="s">
        <v>444</v>
      </c>
      <c r="B123" s="18" t="s">
        <v>91</v>
      </c>
      <c r="C123" s="18" t="s">
        <v>12</v>
      </c>
      <c r="D123" s="17" t="s">
        <v>445</v>
      </c>
      <c r="E123" s="24" t="s">
        <v>16</v>
      </c>
      <c r="F123" s="17"/>
      <c r="G123" s="17" t="s">
        <v>446</v>
      </c>
      <c r="H123" s="17"/>
      <c r="I123" s="17"/>
      <c r="J123" s="17"/>
      <c r="K123" s="17" t="s">
        <v>56</v>
      </c>
      <c r="L123" s="17" t="n">
        <v>105</v>
      </c>
      <c r="M123" s="17" t="n">
        <v>0</v>
      </c>
      <c r="N123" s="17"/>
      <c r="O123" s="17"/>
    </row>
    <row r="124" customFormat="false" ht="15" hidden="false" customHeight="false" outlineLevel="0" collapsed="false">
      <c r="A124" s="17" t="s">
        <v>447</v>
      </c>
      <c r="B124" s="18" t="s">
        <v>91</v>
      </c>
      <c r="C124" s="18" t="s">
        <v>12</v>
      </c>
      <c r="D124" s="17" t="s">
        <v>448</v>
      </c>
      <c r="E124" s="24" t="s">
        <v>16</v>
      </c>
      <c r="F124" s="17"/>
      <c r="G124" s="17" t="s">
        <v>446</v>
      </c>
      <c r="H124" s="17"/>
      <c r="I124" s="17"/>
      <c r="J124" s="17"/>
      <c r="K124" s="17" t="s">
        <v>56</v>
      </c>
      <c r="L124" s="17" t="n">
        <v>146</v>
      </c>
      <c r="M124" s="17" t="n">
        <v>9.8</v>
      </c>
      <c r="N124" s="17"/>
      <c r="O124" s="17"/>
    </row>
    <row r="125" customFormat="false" ht="15" hidden="false" customHeight="false" outlineLevel="0" collapsed="false">
      <c r="A125" s="17" t="s">
        <v>449</v>
      </c>
      <c r="B125" s="18" t="s">
        <v>91</v>
      </c>
      <c r="C125" s="18" t="s">
        <v>12</v>
      </c>
      <c r="D125" s="17" t="s">
        <v>450</v>
      </c>
      <c r="E125" s="24" t="s">
        <v>16</v>
      </c>
      <c r="F125" s="17"/>
      <c r="G125" s="17" t="s">
        <v>446</v>
      </c>
      <c r="H125" s="17"/>
      <c r="I125" s="17"/>
      <c r="J125" s="17"/>
      <c r="K125" s="17" t="s">
        <v>56</v>
      </c>
      <c r="L125" s="17" t="n">
        <v>180</v>
      </c>
      <c r="M125" s="17" t="n">
        <v>0</v>
      </c>
      <c r="N125" s="17"/>
      <c r="O125" s="17"/>
    </row>
    <row r="126" customFormat="false" ht="15" hidden="false" customHeight="false" outlineLevel="0" collapsed="false">
      <c r="A126" s="17" t="s">
        <v>451</v>
      </c>
      <c r="B126" s="18" t="s">
        <v>91</v>
      </c>
      <c r="C126" s="18" t="s">
        <v>12</v>
      </c>
      <c r="D126" s="17" t="s">
        <v>452</v>
      </c>
      <c r="E126" s="24" t="s">
        <v>16</v>
      </c>
      <c r="F126" s="17"/>
      <c r="G126" s="17" t="s">
        <v>446</v>
      </c>
      <c r="H126" s="17"/>
      <c r="I126" s="17"/>
      <c r="J126" s="17"/>
      <c r="K126" s="17" t="s">
        <v>56</v>
      </c>
      <c r="L126" s="17" t="n">
        <v>193</v>
      </c>
      <c r="M126" s="17" t="n">
        <v>0</v>
      </c>
      <c r="N126" s="17"/>
      <c r="O126" s="17"/>
    </row>
    <row r="127" customFormat="false" ht="15" hidden="false" customHeight="false" outlineLevel="0" collapsed="false">
      <c r="A127" s="17" t="s">
        <v>453</v>
      </c>
      <c r="B127" s="18" t="s">
        <v>91</v>
      </c>
      <c r="C127" s="18" t="s">
        <v>12</v>
      </c>
      <c r="D127" s="17" t="s">
        <v>454</v>
      </c>
      <c r="E127" s="24" t="s">
        <v>16</v>
      </c>
      <c r="F127" s="17"/>
      <c r="G127" s="17" t="s">
        <v>446</v>
      </c>
      <c r="H127" s="17"/>
      <c r="I127" s="17"/>
      <c r="J127" s="17"/>
      <c r="K127" s="17" t="s">
        <v>56</v>
      </c>
      <c r="L127" s="17" t="n">
        <v>203</v>
      </c>
      <c r="M127" s="17" t="n">
        <v>0</v>
      </c>
      <c r="N127" s="17"/>
      <c r="O127" s="17"/>
    </row>
    <row r="128" customFormat="false" ht="15" hidden="false" customHeight="false" outlineLevel="0" collapsed="false">
      <c r="A128" s="17" t="s">
        <v>455</v>
      </c>
      <c r="B128" s="18" t="s">
        <v>91</v>
      </c>
      <c r="C128" s="18" t="s">
        <v>12</v>
      </c>
      <c r="D128" s="17" t="s">
        <v>456</v>
      </c>
      <c r="E128" s="24" t="s">
        <v>16</v>
      </c>
      <c r="F128" s="17"/>
      <c r="G128" s="17" t="s">
        <v>446</v>
      </c>
      <c r="H128" s="17"/>
      <c r="I128" s="17"/>
      <c r="J128" s="17"/>
      <c r="K128" s="17" t="s">
        <v>56</v>
      </c>
      <c r="L128" s="17" t="n">
        <v>221</v>
      </c>
      <c r="M128" s="17" t="n">
        <v>0</v>
      </c>
      <c r="N128" s="17"/>
      <c r="O128" s="17"/>
    </row>
    <row r="129" customFormat="false" ht="23.85" hidden="false" customHeight="false" outlineLevel="0" collapsed="false">
      <c r="A129" s="17" t="s">
        <v>433</v>
      </c>
      <c r="B129" s="18" t="s">
        <v>91</v>
      </c>
      <c r="C129" s="18" t="s">
        <v>12</v>
      </c>
      <c r="D129" s="17" t="s">
        <v>457</v>
      </c>
      <c r="E129" s="24" t="s">
        <v>16</v>
      </c>
      <c r="F129" s="17"/>
      <c r="G129" s="17" t="s">
        <v>446</v>
      </c>
      <c r="H129" s="17"/>
      <c r="I129" s="17"/>
      <c r="J129" s="17"/>
      <c r="K129" s="17" t="s">
        <v>57</v>
      </c>
      <c r="L129" s="17" t="n">
        <v>83</v>
      </c>
      <c r="M129" s="17" t="n">
        <v>0</v>
      </c>
      <c r="N129" s="17"/>
      <c r="O129" s="17"/>
    </row>
    <row r="130" customFormat="false" ht="15" hidden="false" customHeight="false" outlineLevel="0" collapsed="false">
      <c r="A130" s="17" t="s">
        <v>313</v>
      </c>
      <c r="B130" s="18" t="s">
        <v>91</v>
      </c>
      <c r="C130" s="18" t="s">
        <v>12</v>
      </c>
      <c r="D130" s="17" t="s">
        <v>458</v>
      </c>
      <c r="E130" s="24" t="s">
        <v>16</v>
      </c>
      <c r="F130" s="17"/>
      <c r="G130" s="17" t="s">
        <v>446</v>
      </c>
      <c r="H130" s="17"/>
      <c r="I130" s="17"/>
      <c r="J130" s="17"/>
      <c r="K130" s="17" t="s">
        <v>57</v>
      </c>
      <c r="L130" s="17" t="n">
        <v>83</v>
      </c>
      <c r="M130" s="17" t="n">
        <v>18</v>
      </c>
      <c r="N130" s="17"/>
      <c r="O130" s="17"/>
    </row>
    <row r="131" customFormat="false" ht="15" hidden="false" customHeight="false" outlineLevel="0" collapsed="false">
      <c r="A131" s="17" t="s">
        <v>459</v>
      </c>
      <c r="B131" s="18" t="s">
        <v>91</v>
      </c>
      <c r="C131" s="18" t="s">
        <v>12</v>
      </c>
      <c r="D131" s="17" t="s">
        <v>460</v>
      </c>
      <c r="E131" s="24" t="s">
        <v>16</v>
      </c>
      <c r="F131" s="17"/>
      <c r="G131" s="17" t="s">
        <v>446</v>
      </c>
      <c r="H131" s="17"/>
      <c r="I131" s="17"/>
      <c r="J131" s="17"/>
      <c r="K131" s="17" t="s">
        <v>57</v>
      </c>
      <c r="L131" s="17" t="n">
        <v>83</v>
      </c>
      <c r="M131" s="17" t="n">
        <v>26.9</v>
      </c>
      <c r="N131" s="17"/>
      <c r="O131" s="17"/>
    </row>
    <row r="132" customFormat="false" ht="15" hidden="false" customHeight="false" outlineLevel="0" collapsed="false">
      <c r="A132" s="17" t="s">
        <v>461</v>
      </c>
      <c r="B132" s="18" t="s">
        <v>91</v>
      </c>
      <c r="C132" s="18" t="s">
        <v>12</v>
      </c>
      <c r="D132" s="17" t="s">
        <v>462</v>
      </c>
      <c r="E132" s="24" t="s">
        <v>16</v>
      </c>
      <c r="F132" s="17"/>
      <c r="G132" s="17" t="s">
        <v>446</v>
      </c>
      <c r="H132" s="17"/>
      <c r="I132" s="17"/>
      <c r="J132" s="17"/>
      <c r="K132" s="17" t="s">
        <v>57</v>
      </c>
      <c r="L132" s="17" t="n">
        <v>83</v>
      </c>
      <c r="M132" s="17" t="n">
        <v>28.4</v>
      </c>
      <c r="N132" s="17"/>
      <c r="O132" s="17"/>
    </row>
    <row r="133" customFormat="false" ht="15" hidden="false" customHeight="false" outlineLevel="0" collapsed="false">
      <c r="A133" s="17" t="s">
        <v>430</v>
      </c>
      <c r="B133" s="18" t="s">
        <v>91</v>
      </c>
      <c r="C133" s="18" t="s">
        <v>12</v>
      </c>
      <c r="D133" s="17" t="s">
        <v>463</v>
      </c>
      <c r="E133" s="24" t="s">
        <v>16</v>
      </c>
      <c r="F133" s="17"/>
      <c r="G133" s="17" t="s">
        <v>446</v>
      </c>
      <c r="H133" s="17"/>
      <c r="I133" s="17"/>
      <c r="J133" s="17"/>
      <c r="K133" s="17" t="s">
        <v>57</v>
      </c>
      <c r="L133" s="17" t="n">
        <v>83</v>
      </c>
      <c r="M133" s="17" t="n">
        <v>30.8</v>
      </c>
      <c r="N133" s="17"/>
      <c r="O133" s="17"/>
    </row>
    <row r="134" customFormat="false" ht="15" hidden="false" customHeight="false" outlineLevel="0" collapsed="false">
      <c r="A134" s="17" t="s">
        <v>464</v>
      </c>
      <c r="B134" s="18" t="s">
        <v>91</v>
      </c>
      <c r="C134" s="18" t="s">
        <v>12</v>
      </c>
      <c r="D134" s="17" t="s">
        <v>465</v>
      </c>
      <c r="E134" s="24" t="s">
        <v>16</v>
      </c>
      <c r="F134" s="17"/>
      <c r="G134" s="17" t="s">
        <v>446</v>
      </c>
      <c r="H134" s="17"/>
      <c r="I134" s="17"/>
      <c r="J134" s="17"/>
      <c r="K134" s="17" t="s">
        <v>58</v>
      </c>
      <c r="L134" s="17" t="n">
        <v>106</v>
      </c>
      <c r="M134" s="17" t="n">
        <v>9.7</v>
      </c>
      <c r="N134" s="17"/>
      <c r="O134" s="17"/>
    </row>
    <row r="135" customFormat="false" ht="15" hidden="false" customHeight="false" outlineLevel="0" collapsed="false">
      <c r="A135" s="17" t="s">
        <v>466</v>
      </c>
      <c r="B135" s="18" t="s">
        <v>91</v>
      </c>
      <c r="C135" s="18" t="s">
        <v>12</v>
      </c>
      <c r="D135" s="17" t="s">
        <v>467</v>
      </c>
      <c r="E135" s="24" t="s">
        <v>16</v>
      </c>
      <c r="F135" s="17"/>
      <c r="G135" s="17" t="s">
        <v>446</v>
      </c>
      <c r="H135" s="17"/>
      <c r="I135" s="17"/>
      <c r="J135" s="17"/>
      <c r="K135" s="17" t="s">
        <v>58</v>
      </c>
      <c r="L135" s="17" t="n">
        <v>127</v>
      </c>
      <c r="M135" s="17" t="n">
        <v>0</v>
      </c>
      <c r="N135" s="17"/>
      <c r="O135" s="17"/>
    </row>
    <row r="136" customFormat="false" ht="15" hidden="false" customHeight="false" outlineLevel="0" collapsed="false">
      <c r="A136" s="17" t="s">
        <v>468</v>
      </c>
      <c r="B136" s="18" t="s">
        <v>91</v>
      </c>
      <c r="C136" s="18" t="s">
        <v>12</v>
      </c>
      <c r="D136" s="17" t="s">
        <v>469</v>
      </c>
      <c r="E136" s="24" t="s">
        <v>16</v>
      </c>
      <c r="F136" s="17"/>
      <c r="G136" s="17" t="s">
        <v>446</v>
      </c>
      <c r="H136" s="17"/>
      <c r="I136" s="17"/>
      <c r="J136" s="17"/>
      <c r="K136" s="17" t="s">
        <v>58</v>
      </c>
      <c r="L136" s="17" t="n">
        <v>137</v>
      </c>
      <c r="M136" s="17" t="n">
        <v>0</v>
      </c>
      <c r="N136" s="17"/>
      <c r="O136" s="17"/>
    </row>
    <row r="137" customFormat="false" ht="15" hidden="false" customHeight="false" outlineLevel="0" collapsed="false">
      <c r="A137" s="17" t="s">
        <v>470</v>
      </c>
      <c r="B137" s="18" t="s">
        <v>91</v>
      </c>
      <c r="C137" s="18" t="s">
        <v>12</v>
      </c>
      <c r="D137" s="17" t="s">
        <v>471</v>
      </c>
      <c r="E137" s="24" t="s">
        <v>16</v>
      </c>
      <c r="F137" s="17"/>
      <c r="G137" s="17" t="s">
        <v>446</v>
      </c>
      <c r="H137" s="17"/>
      <c r="I137" s="17"/>
      <c r="J137" s="17"/>
      <c r="K137" s="17" t="s">
        <v>59</v>
      </c>
      <c r="L137" s="17" t="n">
        <v>232</v>
      </c>
      <c r="M137" s="17" t="n">
        <v>9.8</v>
      </c>
      <c r="N137" s="17"/>
      <c r="O137" s="17"/>
    </row>
    <row r="138" customFormat="false" ht="15" hidden="false" customHeight="false" outlineLevel="0" collapsed="false">
      <c r="A138" s="17" t="s">
        <v>472</v>
      </c>
      <c r="B138" s="18" t="s">
        <v>91</v>
      </c>
      <c r="C138" s="18" t="s">
        <v>12</v>
      </c>
      <c r="D138" s="17" t="s">
        <v>473</v>
      </c>
      <c r="E138" s="24" t="s">
        <v>16</v>
      </c>
      <c r="F138" s="17"/>
      <c r="G138" s="17" t="s">
        <v>446</v>
      </c>
      <c r="H138" s="17"/>
      <c r="I138" s="17"/>
      <c r="J138" s="17"/>
      <c r="K138" s="17" t="s">
        <v>59</v>
      </c>
      <c r="L138" s="17" t="n">
        <v>232</v>
      </c>
      <c r="M138" s="17" t="n">
        <v>9.9</v>
      </c>
      <c r="N138" s="17"/>
      <c r="O138" s="17"/>
    </row>
    <row r="139" customFormat="false" ht="23.85" hidden="false" customHeight="false" outlineLevel="0" collapsed="false">
      <c r="A139" s="17" t="s">
        <v>474</v>
      </c>
      <c r="B139" s="18" t="s">
        <v>91</v>
      </c>
      <c r="C139" s="18" t="s">
        <v>12</v>
      </c>
      <c r="D139" s="17" t="s">
        <v>475</v>
      </c>
      <c r="E139" s="24" t="s">
        <v>16</v>
      </c>
      <c r="F139" s="17"/>
      <c r="G139" s="17" t="s">
        <v>446</v>
      </c>
      <c r="H139" s="17"/>
      <c r="I139" s="17"/>
      <c r="J139" s="17"/>
      <c r="K139" s="17" t="s">
        <v>59</v>
      </c>
      <c r="L139" s="17" t="n">
        <v>232</v>
      </c>
      <c r="M139" s="17" t="n">
        <v>9.9</v>
      </c>
      <c r="N139" s="17"/>
      <c r="O139" s="17"/>
    </row>
    <row r="140" customFormat="false" ht="15" hidden="false" customHeight="false" outlineLevel="0" collapsed="false">
      <c r="A140" s="17" t="s">
        <v>476</v>
      </c>
      <c r="B140" s="18" t="s">
        <v>91</v>
      </c>
      <c r="C140" s="18" t="s">
        <v>12</v>
      </c>
      <c r="D140" s="17" t="s">
        <v>477</v>
      </c>
      <c r="E140" s="24" t="s">
        <v>16</v>
      </c>
      <c r="F140" s="17"/>
      <c r="G140" s="17" t="s">
        <v>446</v>
      </c>
      <c r="H140" s="17"/>
      <c r="I140" s="17"/>
      <c r="J140" s="17"/>
      <c r="K140" s="17" t="s">
        <v>59</v>
      </c>
      <c r="L140" s="17" t="n">
        <v>269</v>
      </c>
      <c r="M140" s="17" t="n">
        <v>9.7</v>
      </c>
      <c r="N140" s="17"/>
      <c r="O140" s="17"/>
    </row>
    <row r="141" customFormat="false" ht="15" hidden="false" customHeight="false" outlineLevel="0" collapsed="false">
      <c r="A141" s="17" t="s">
        <v>478</v>
      </c>
      <c r="B141" s="18" t="s">
        <v>91</v>
      </c>
      <c r="C141" s="18" t="s">
        <v>12</v>
      </c>
      <c r="D141" s="17" t="s">
        <v>479</v>
      </c>
      <c r="E141" s="24" t="s">
        <v>16</v>
      </c>
      <c r="F141" s="17"/>
      <c r="G141" s="17" t="s">
        <v>446</v>
      </c>
      <c r="H141" s="17"/>
      <c r="I141" s="17"/>
      <c r="J141" s="17"/>
      <c r="K141" s="17" t="s">
        <v>59</v>
      </c>
      <c r="L141" s="17" t="n">
        <v>269</v>
      </c>
      <c r="M141" s="17" t="n">
        <v>9.9</v>
      </c>
      <c r="N141" s="17"/>
      <c r="O141" s="17"/>
    </row>
    <row r="142" customFormat="false" ht="15" hidden="false" customHeight="false" outlineLevel="0" collapsed="false">
      <c r="A142" s="17" t="s">
        <v>480</v>
      </c>
      <c r="B142" s="18" t="s">
        <v>91</v>
      </c>
      <c r="C142" s="18" t="s">
        <v>12</v>
      </c>
      <c r="D142" s="17" t="s">
        <v>481</v>
      </c>
      <c r="E142" s="24" t="s">
        <v>16</v>
      </c>
      <c r="F142" s="17"/>
      <c r="G142" s="17" t="s">
        <v>446</v>
      </c>
      <c r="H142" s="17"/>
      <c r="I142" s="17"/>
      <c r="J142" s="17"/>
      <c r="K142" s="17" t="s">
        <v>59</v>
      </c>
      <c r="L142" s="17" t="n">
        <v>269</v>
      </c>
      <c r="M142" s="17" t="n">
        <v>9.9</v>
      </c>
      <c r="N142" s="17"/>
      <c r="O142" s="17"/>
    </row>
    <row r="143" customFormat="false" ht="15" hidden="false" customHeight="false" outlineLevel="0" collapsed="false">
      <c r="A143" s="17" t="s">
        <v>482</v>
      </c>
      <c r="B143" s="18" t="s">
        <v>91</v>
      </c>
      <c r="C143" s="18" t="s">
        <v>12</v>
      </c>
      <c r="D143" s="17" t="s">
        <v>483</v>
      </c>
      <c r="E143" s="24" t="s">
        <v>16</v>
      </c>
      <c r="F143" s="17"/>
      <c r="G143" s="17" t="s">
        <v>446</v>
      </c>
      <c r="H143" s="17"/>
      <c r="I143" s="17"/>
      <c r="J143" s="17"/>
      <c r="K143" s="17" t="s">
        <v>59</v>
      </c>
      <c r="L143" s="17" t="n">
        <v>269</v>
      </c>
      <c r="M143" s="17" t="n">
        <v>9.7</v>
      </c>
      <c r="N143" s="17"/>
      <c r="O143" s="17"/>
    </row>
    <row r="144" customFormat="false" ht="23.85" hidden="false" customHeight="false" outlineLevel="0" collapsed="false">
      <c r="A144" s="17" t="s">
        <v>484</v>
      </c>
      <c r="B144" s="18" t="s">
        <v>91</v>
      </c>
      <c r="C144" s="18" t="s">
        <v>12</v>
      </c>
      <c r="D144" s="17" t="s">
        <v>485</v>
      </c>
      <c r="E144" s="24" t="s">
        <v>16</v>
      </c>
      <c r="F144" s="17"/>
      <c r="G144" s="17" t="s">
        <v>446</v>
      </c>
      <c r="H144" s="17"/>
      <c r="I144" s="17"/>
      <c r="J144" s="17"/>
      <c r="K144" s="17" t="s">
        <v>59</v>
      </c>
      <c r="L144" s="17" t="n">
        <v>269</v>
      </c>
      <c r="M144" s="17" t="n">
        <v>9.9</v>
      </c>
      <c r="N144" s="17"/>
      <c r="O144" s="17"/>
    </row>
    <row r="145" customFormat="false" ht="15" hidden="false" customHeight="false" outlineLevel="0" collapsed="false">
      <c r="A145" s="17" t="s">
        <v>486</v>
      </c>
      <c r="B145" s="18" t="s">
        <v>91</v>
      </c>
      <c r="C145" s="18" t="s">
        <v>12</v>
      </c>
      <c r="D145" s="17" t="s">
        <v>487</v>
      </c>
      <c r="E145" s="24" t="s">
        <v>16</v>
      </c>
      <c r="F145" s="17"/>
      <c r="G145" s="17" t="s">
        <v>446</v>
      </c>
      <c r="H145" s="17"/>
      <c r="I145" s="17"/>
      <c r="J145" s="17"/>
      <c r="K145" s="17" t="s">
        <v>59</v>
      </c>
      <c r="L145" s="17" t="n">
        <v>269</v>
      </c>
      <c r="M145" s="17" t="n">
        <v>9.7</v>
      </c>
      <c r="N145" s="17"/>
      <c r="O145" s="17"/>
    </row>
    <row r="146" customFormat="false" ht="15" hidden="false" customHeight="false" outlineLevel="0" collapsed="false">
      <c r="A146" s="17" t="s">
        <v>488</v>
      </c>
      <c r="B146" s="18" t="s">
        <v>91</v>
      </c>
      <c r="C146" s="18" t="s">
        <v>12</v>
      </c>
      <c r="D146" s="17" t="s">
        <v>489</v>
      </c>
      <c r="E146" s="24" t="s">
        <v>16</v>
      </c>
      <c r="F146" s="17"/>
      <c r="G146" s="17" t="s">
        <v>446</v>
      </c>
      <c r="H146" s="17"/>
      <c r="I146" s="17"/>
      <c r="J146" s="17"/>
      <c r="K146" s="17" t="s">
        <v>59</v>
      </c>
      <c r="L146" s="17" t="n">
        <v>305</v>
      </c>
      <c r="M146" s="17" t="n">
        <v>9.8</v>
      </c>
      <c r="N146" s="17"/>
      <c r="O146" s="17"/>
    </row>
    <row r="147" customFormat="false" ht="15" hidden="false" customHeight="false" outlineLevel="0" collapsed="false">
      <c r="A147" s="17" t="s">
        <v>490</v>
      </c>
      <c r="B147" s="18" t="s">
        <v>91</v>
      </c>
      <c r="C147" s="18" t="s">
        <v>12</v>
      </c>
      <c r="D147" s="17" t="s">
        <v>491</v>
      </c>
      <c r="E147" s="24" t="s">
        <v>16</v>
      </c>
      <c r="F147" s="17"/>
      <c r="G147" s="17" t="s">
        <v>446</v>
      </c>
      <c r="H147" s="17"/>
      <c r="I147" s="17"/>
      <c r="J147" s="17"/>
      <c r="K147" s="17" t="s">
        <v>59</v>
      </c>
      <c r="L147" s="17" t="n">
        <v>305</v>
      </c>
      <c r="M147" s="17" t="n">
        <v>9.7</v>
      </c>
      <c r="N147" s="17"/>
      <c r="O147" s="17"/>
    </row>
    <row r="148" customFormat="false" ht="15" hidden="false" customHeight="false" outlineLevel="0" collapsed="false">
      <c r="A148" s="17" t="s">
        <v>492</v>
      </c>
      <c r="B148" s="18" t="s">
        <v>91</v>
      </c>
      <c r="C148" s="18" t="s">
        <v>12</v>
      </c>
      <c r="D148" s="17" t="s">
        <v>493</v>
      </c>
      <c r="E148" s="24" t="s">
        <v>16</v>
      </c>
      <c r="F148" s="17"/>
      <c r="G148" s="17" t="s">
        <v>446</v>
      </c>
      <c r="H148" s="17"/>
      <c r="I148" s="17"/>
      <c r="J148" s="17"/>
      <c r="K148" s="17" t="s">
        <v>59</v>
      </c>
      <c r="L148" s="17" t="n">
        <v>305</v>
      </c>
      <c r="M148" s="17" t="n">
        <v>9.8</v>
      </c>
      <c r="N148" s="17"/>
      <c r="O148" s="17"/>
    </row>
    <row r="149" customFormat="false" ht="15" hidden="false" customHeight="false" outlineLevel="0" collapsed="false">
      <c r="A149" s="17" t="s">
        <v>494</v>
      </c>
      <c r="B149" s="18" t="s">
        <v>91</v>
      </c>
      <c r="C149" s="18" t="s">
        <v>12</v>
      </c>
      <c r="D149" s="17" t="s">
        <v>495</v>
      </c>
      <c r="E149" s="24" t="s">
        <v>16</v>
      </c>
      <c r="F149" s="17"/>
      <c r="G149" s="17" t="s">
        <v>446</v>
      </c>
      <c r="H149" s="17"/>
      <c r="I149" s="17"/>
      <c r="J149" s="17"/>
      <c r="K149" s="17" t="s">
        <v>59</v>
      </c>
      <c r="L149" s="17" t="n">
        <v>324</v>
      </c>
      <c r="M149" s="17" t="n">
        <v>9.9</v>
      </c>
      <c r="N149" s="17"/>
      <c r="O149" s="17"/>
    </row>
    <row r="150" customFormat="false" ht="15" hidden="false" customHeight="false" outlineLevel="0" collapsed="false">
      <c r="A150" s="17" t="s">
        <v>496</v>
      </c>
      <c r="B150" s="18" t="s">
        <v>91</v>
      </c>
      <c r="C150" s="18" t="s">
        <v>12</v>
      </c>
      <c r="D150" s="17" t="s">
        <v>497</v>
      </c>
      <c r="E150" s="24" t="s">
        <v>16</v>
      </c>
      <c r="F150" s="17"/>
      <c r="G150" s="17" t="s">
        <v>446</v>
      </c>
      <c r="H150" s="17"/>
      <c r="I150" s="17"/>
      <c r="J150" s="17"/>
      <c r="K150" s="17" t="s">
        <v>59</v>
      </c>
      <c r="L150" s="17" t="n">
        <v>324</v>
      </c>
      <c r="M150" s="17" t="n">
        <v>9.9</v>
      </c>
      <c r="N150" s="17"/>
      <c r="O150" s="17"/>
    </row>
    <row r="151" customFormat="false" ht="15" hidden="false" customHeight="false" outlineLevel="0" collapsed="false">
      <c r="A151" s="17" t="s">
        <v>498</v>
      </c>
      <c r="B151" s="18" t="s">
        <v>91</v>
      </c>
      <c r="C151" s="18" t="s">
        <v>12</v>
      </c>
      <c r="D151" s="17" t="s">
        <v>499</v>
      </c>
      <c r="E151" s="24" t="s">
        <v>16</v>
      </c>
      <c r="F151" s="17"/>
      <c r="G151" s="17" t="s">
        <v>446</v>
      </c>
      <c r="H151" s="17"/>
      <c r="I151" s="17"/>
      <c r="J151" s="17"/>
      <c r="K151" s="17" t="s">
        <v>59</v>
      </c>
      <c r="L151" s="17" t="n">
        <v>324</v>
      </c>
      <c r="M151" s="17" t="n">
        <v>9.8</v>
      </c>
      <c r="N151" s="17"/>
      <c r="O151" s="17"/>
    </row>
    <row r="152" customFormat="false" ht="15" hidden="false" customHeight="false" outlineLevel="0" collapsed="false">
      <c r="A152" s="17" t="s">
        <v>500</v>
      </c>
      <c r="B152" s="18" t="s">
        <v>91</v>
      </c>
      <c r="C152" s="18" t="s">
        <v>12</v>
      </c>
      <c r="D152" s="17" t="s">
        <v>501</v>
      </c>
      <c r="E152" s="24" t="s">
        <v>16</v>
      </c>
      <c r="F152" s="17"/>
      <c r="G152" s="17" t="s">
        <v>446</v>
      </c>
      <c r="H152" s="17"/>
      <c r="I152" s="17"/>
      <c r="J152" s="17"/>
      <c r="K152" s="17" t="s">
        <v>59</v>
      </c>
      <c r="L152" s="17" t="n">
        <v>324</v>
      </c>
      <c r="M152" s="17" t="n">
        <v>9.9</v>
      </c>
      <c r="N152" s="17"/>
      <c r="O152" s="17"/>
    </row>
    <row r="153" customFormat="false" ht="15" hidden="false" customHeight="false" outlineLevel="0" collapsed="false">
      <c r="A153" s="17" t="s">
        <v>502</v>
      </c>
      <c r="B153" s="18" t="s">
        <v>91</v>
      </c>
      <c r="C153" s="18" t="s">
        <v>12</v>
      </c>
      <c r="D153" s="17" t="s">
        <v>503</v>
      </c>
      <c r="E153" s="24" t="s">
        <v>16</v>
      </c>
      <c r="F153" s="17"/>
      <c r="G153" s="17" t="s">
        <v>446</v>
      </c>
      <c r="H153" s="17"/>
      <c r="I153" s="17"/>
      <c r="J153" s="17"/>
      <c r="K153" s="17" t="s">
        <v>59</v>
      </c>
      <c r="L153" s="17" t="n">
        <v>324</v>
      </c>
      <c r="M153" s="17" t="n">
        <v>9.7</v>
      </c>
      <c r="N153" s="17"/>
      <c r="O153" s="17"/>
    </row>
    <row r="154" customFormat="false" ht="15" hidden="false" customHeight="false" outlineLevel="0" collapsed="false">
      <c r="A154" s="17" t="s">
        <v>504</v>
      </c>
      <c r="B154" s="18" t="s">
        <v>91</v>
      </c>
      <c r="C154" s="18" t="s">
        <v>12</v>
      </c>
      <c r="D154" s="17" t="s">
        <v>505</v>
      </c>
      <c r="E154" s="24" t="s">
        <v>16</v>
      </c>
      <c r="F154" s="17"/>
      <c r="G154" s="17" t="s">
        <v>446</v>
      </c>
      <c r="H154" s="17"/>
      <c r="I154" s="17"/>
      <c r="J154" s="17"/>
      <c r="K154" s="17" t="s">
        <v>59</v>
      </c>
      <c r="L154" s="17" t="n">
        <v>336</v>
      </c>
      <c r="M154" s="17" t="n">
        <v>10.8</v>
      </c>
      <c r="N154" s="17"/>
      <c r="O154" s="17"/>
    </row>
    <row r="155" customFormat="false" ht="15" hidden="false" customHeight="false" outlineLevel="0" collapsed="false">
      <c r="A155" s="17" t="s">
        <v>414</v>
      </c>
      <c r="B155" s="18" t="s">
        <v>91</v>
      </c>
      <c r="C155" s="18" t="s">
        <v>12</v>
      </c>
      <c r="D155" s="17" t="s">
        <v>506</v>
      </c>
      <c r="E155" s="24" t="s">
        <v>16</v>
      </c>
      <c r="F155" s="17"/>
      <c r="G155" s="17" t="s">
        <v>446</v>
      </c>
      <c r="H155" s="17"/>
      <c r="I155" s="17"/>
      <c r="J155" s="17"/>
      <c r="K155" s="17" t="s">
        <v>59</v>
      </c>
      <c r="L155" s="17" t="n">
        <v>336</v>
      </c>
      <c r="M155" s="17" t="n">
        <v>10.9</v>
      </c>
      <c r="N155" s="17"/>
      <c r="O155" s="17"/>
    </row>
    <row r="156" customFormat="false" ht="15" hidden="false" customHeight="false" outlineLevel="0" collapsed="false">
      <c r="A156" s="17" t="s">
        <v>417</v>
      </c>
      <c r="B156" s="18" t="s">
        <v>91</v>
      </c>
      <c r="C156" s="18" t="s">
        <v>12</v>
      </c>
      <c r="D156" s="17" t="s">
        <v>507</v>
      </c>
      <c r="E156" s="24" t="s">
        <v>16</v>
      </c>
      <c r="F156" s="17"/>
      <c r="G156" s="17" t="s">
        <v>446</v>
      </c>
      <c r="H156" s="17"/>
      <c r="I156" s="17"/>
      <c r="J156" s="17"/>
      <c r="K156" s="17" t="s">
        <v>59</v>
      </c>
      <c r="L156" s="17" t="n">
        <v>336</v>
      </c>
      <c r="M156" s="17" t="n">
        <v>9.7</v>
      </c>
      <c r="N156" s="17"/>
      <c r="O156" s="17"/>
    </row>
    <row r="157" customFormat="false" ht="15" hidden="false" customHeight="false" outlineLevel="0" collapsed="false">
      <c r="A157" s="17" t="s">
        <v>420</v>
      </c>
      <c r="B157" s="18" t="s">
        <v>91</v>
      </c>
      <c r="C157" s="18" t="s">
        <v>12</v>
      </c>
      <c r="D157" s="17" t="s">
        <v>508</v>
      </c>
      <c r="E157" s="24" t="s">
        <v>16</v>
      </c>
      <c r="F157" s="17"/>
      <c r="G157" s="17" t="s">
        <v>446</v>
      </c>
      <c r="H157" s="17"/>
      <c r="I157" s="17"/>
      <c r="J157" s="17"/>
      <c r="K157" s="17" t="s">
        <v>59</v>
      </c>
      <c r="L157" s="17" t="n">
        <v>336</v>
      </c>
      <c r="M157" s="17" t="n">
        <v>9.8</v>
      </c>
      <c r="N157" s="17"/>
      <c r="O157" s="17"/>
    </row>
    <row r="158" customFormat="false" ht="15" hidden="false" customHeight="false" outlineLevel="0" collapsed="false">
      <c r="A158" s="17" t="s">
        <v>423</v>
      </c>
      <c r="B158" s="18" t="s">
        <v>91</v>
      </c>
      <c r="C158" s="18" t="s">
        <v>12</v>
      </c>
      <c r="D158" s="17" t="s">
        <v>509</v>
      </c>
      <c r="E158" s="24" t="s">
        <v>16</v>
      </c>
      <c r="F158" s="17"/>
      <c r="G158" s="17" t="s">
        <v>446</v>
      </c>
      <c r="H158" s="17"/>
      <c r="I158" s="17"/>
      <c r="J158" s="17"/>
      <c r="K158" s="17" t="s">
        <v>59</v>
      </c>
      <c r="L158" s="17" t="n">
        <v>336</v>
      </c>
      <c r="M158" s="17" t="n">
        <v>9.7</v>
      </c>
      <c r="N158" s="17"/>
      <c r="O158" s="17"/>
    </row>
    <row r="159" customFormat="false" ht="15" hidden="false" customHeight="false" outlineLevel="0" collapsed="false">
      <c r="A159" s="17" t="s">
        <v>510</v>
      </c>
      <c r="B159" s="18" t="s">
        <v>91</v>
      </c>
      <c r="C159" s="18" t="s">
        <v>12</v>
      </c>
      <c r="D159" s="17" t="s">
        <v>511</v>
      </c>
      <c r="E159" s="24" t="s">
        <v>16</v>
      </c>
      <c r="F159" s="17"/>
      <c r="G159" s="17" t="s">
        <v>446</v>
      </c>
      <c r="H159" s="17"/>
      <c r="I159" s="17"/>
      <c r="J159" s="17"/>
      <c r="K159" s="17" t="s">
        <v>59</v>
      </c>
      <c r="L159" s="17" t="n">
        <v>354</v>
      </c>
      <c r="M159" s="17" t="n">
        <v>9.9</v>
      </c>
      <c r="N159" s="17"/>
      <c r="O159" s="17"/>
    </row>
    <row r="160" customFormat="false" ht="15" hidden="false" customHeight="false" outlineLevel="0" collapsed="false">
      <c r="A160" s="17" t="s">
        <v>512</v>
      </c>
      <c r="B160" s="18" t="s">
        <v>91</v>
      </c>
      <c r="C160" s="18" t="s">
        <v>12</v>
      </c>
      <c r="D160" s="17" t="s">
        <v>513</v>
      </c>
      <c r="E160" s="24" t="s">
        <v>16</v>
      </c>
      <c r="F160" s="17"/>
      <c r="G160" s="17" t="s">
        <v>446</v>
      </c>
      <c r="H160" s="17"/>
      <c r="I160" s="17"/>
      <c r="J160" s="17"/>
      <c r="K160" s="17" t="s">
        <v>59</v>
      </c>
      <c r="L160" s="17" t="n">
        <v>354</v>
      </c>
      <c r="M160" s="17" t="n">
        <v>9.7</v>
      </c>
      <c r="N160" s="17"/>
      <c r="O160" s="17"/>
    </row>
    <row r="161" customFormat="false" ht="15" hidden="false" customHeight="false" outlineLevel="0" collapsed="false">
      <c r="A161" s="17" t="s">
        <v>514</v>
      </c>
      <c r="B161" s="18" t="s">
        <v>91</v>
      </c>
      <c r="C161" s="18" t="s">
        <v>12</v>
      </c>
      <c r="D161" s="17" t="s">
        <v>515</v>
      </c>
      <c r="E161" s="24" t="s">
        <v>16</v>
      </c>
      <c r="F161" s="17"/>
      <c r="G161" s="17" t="s">
        <v>446</v>
      </c>
      <c r="H161" s="17"/>
      <c r="I161" s="17"/>
      <c r="J161" s="17"/>
      <c r="K161" s="17" t="s">
        <v>59</v>
      </c>
      <c r="L161" s="17" t="n">
        <v>354</v>
      </c>
      <c r="M161" s="17" t="n">
        <v>9.8</v>
      </c>
      <c r="N161" s="17"/>
      <c r="O161" s="17"/>
    </row>
    <row r="162" customFormat="false" ht="15" hidden="false" customHeight="false" outlineLevel="0" collapsed="false">
      <c r="A162" s="17" t="s">
        <v>516</v>
      </c>
      <c r="B162" s="18" t="s">
        <v>91</v>
      </c>
      <c r="C162" s="18" t="s">
        <v>12</v>
      </c>
      <c r="D162" s="17" t="s">
        <v>517</v>
      </c>
      <c r="E162" s="24" t="s">
        <v>16</v>
      </c>
      <c r="F162" s="17"/>
      <c r="G162" s="17" t="s">
        <v>446</v>
      </c>
      <c r="H162" s="17"/>
      <c r="I162" s="17"/>
      <c r="J162" s="17"/>
      <c r="K162" s="17" t="s">
        <v>59</v>
      </c>
      <c r="L162" s="17" t="n">
        <v>354</v>
      </c>
      <c r="M162" s="17" t="n">
        <v>9.7</v>
      </c>
      <c r="N162" s="17"/>
      <c r="O162" s="17"/>
    </row>
    <row r="163" customFormat="false" ht="15" hidden="false" customHeight="false" outlineLevel="0" collapsed="false">
      <c r="A163" s="17" t="s">
        <v>518</v>
      </c>
      <c r="B163" s="18" t="s">
        <v>91</v>
      </c>
      <c r="C163" s="18" t="s">
        <v>12</v>
      </c>
      <c r="D163" s="17" t="s">
        <v>519</v>
      </c>
      <c r="E163" s="24" t="s">
        <v>16</v>
      </c>
      <c r="F163" s="17"/>
      <c r="G163" s="17" t="s">
        <v>446</v>
      </c>
      <c r="H163" s="17"/>
      <c r="I163" s="17"/>
      <c r="J163" s="17"/>
      <c r="K163" s="17" t="s">
        <v>59</v>
      </c>
      <c r="L163" s="17" t="n">
        <v>354</v>
      </c>
      <c r="M163" s="17" t="n">
        <v>9.8</v>
      </c>
      <c r="N163" s="17"/>
      <c r="O163" s="17"/>
    </row>
    <row r="164" customFormat="false" ht="15" hidden="false" customHeight="false" outlineLevel="0" collapsed="false">
      <c r="A164" s="17" t="s">
        <v>520</v>
      </c>
      <c r="B164" s="18" t="s">
        <v>91</v>
      </c>
      <c r="C164" s="18" t="s">
        <v>12</v>
      </c>
      <c r="D164" s="17" t="s">
        <v>521</v>
      </c>
      <c r="E164" s="24" t="s">
        <v>16</v>
      </c>
      <c r="F164" s="17"/>
      <c r="G164" s="17" t="s">
        <v>446</v>
      </c>
      <c r="H164" s="17"/>
      <c r="I164" s="17"/>
      <c r="J164" s="17"/>
      <c r="K164" s="17" t="s">
        <v>59</v>
      </c>
      <c r="L164" s="17" t="n">
        <v>354</v>
      </c>
      <c r="M164" s="17" t="n">
        <v>9.7</v>
      </c>
      <c r="N164" s="17"/>
      <c r="O164" s="17"/>
    </row>
    <row r="165" customFormat="false" ht="15" hidden="false" customHeight="false" outlineLevel="0" collapsed="false">
      <c r="A165" s="17" t="s">
        <v>522</v>
      </c>
      <c r="B165" s="18" t="s">
        <v>91</v>
      </c>
      <c r="C165" s="18" t="s">
        <v>12</v>
      </c>
      <c r="D165" s="17" t="s">
        <v>523</v>
      </c>
      <c r="E165" s="24" t="s">
        <v>16</v>
      </c>
      <c r="F165" s="17"/>
      <c r="G165" s="17" t="s">
        <v>446</v>
      </c>
      <c r="H165" s="17"/>
      <c r="I165" s="17"/>
      <c r="J165" s="17"/>
      <c r="K165" s="17" t="s">
        <v>60</v>
      </c>
      <c r="L165" s="17" t="n">
        <v>68</v>
      </c>
      <c r="M165" s="17" t="n">
        <v>22.6</v>
      </c>
      <c r="N165" s="17"/>
      <c r="O165" s="17"/>
    </row>
    <row r="166" customFormat="false" ht="15" hidden="false" customHeight="false" outlineLevel="0" collapsed="false">
      <c r="A166" s="17" t="s">
        <v>524</v>
      </c>
      <c r="B166" s="18" t="s">
        <v>91</v>
      </c>
      <c r="C166" s="18" t="s">
        <v>12</v>
      </c>
      <c r="D166" s="17" t="s">
        <v>525</v>
      </c>
      <c r="E166" s="24" t="s">
        <v>16</v>
      </c>
      <c r="F166" s="17"/>
      <c r="G166" s="17" t="s">
        <v>446</v>
      </c>
      <c r="H166" s="17"/>
      <c r="I166" s="17"/>
      <c r="J166" s="17"/>
      <c r="K166" s="17" t="s">
        <v>60</v>
      </c>
      <c r="L166" s="17" t="n">
        <v>100</v>
      </c>
      <c r="M166" s="17" t="n">
        <v>6.9</v>
      </c>
      <c r="N166" s="17"/>
      <c r="O166" s="17"/>
    </row>
    <row r="167" customFormat="false" ht="15" hidden="false" customHeight="false" outlineLevel="0" collapsed="false">
      <c r="A167" s="17" t="s">
        <v>526</v>
      </c>
      <c r="B167" s="18" t="s">
        <v>91</v>
      </c>
      <c r="C167" s="18" t="s">
        <v>12</v>
      </c>
      <c r="D167" s="17" t="s">
        <v>527</v>
      </c>
      <c r="E167" s="24" t="s">
        <v>16</v>
      </c>
      <c r="F167" s="17"/>
      <c r="G167" s="17" t="s">
        <v>446</v>
      </c>
      <c r="H167" s="17"/>
      <c r="I167" s="17"/>
      <c r="J167" s="17"/>
      <c r="K167" s="17" t="s">
        <v>60</v>
      </c>
      <c r="L167" s="17" t="n">
        <v>112</v>
      </c>
      <c r="M167" s="17" t="n">
        <v>9.5</v>
      </c>
      <c r="N167" s="17"/>
      <c r="O167" s="17"/>
    </row>
    <row r="168" customFormat="false" ht="15" hidden="false" customHeight="false" outlineLevel="0" collapsed="false">
      <c r="A168" s="17" t="s">
        <v>528</v>
      </c>
      <c r="B168" s="18" t="s">
        <v>91</v>
      </c>
      <c r="C168" s="18" t="s">
        <v>12</v>
      </c>
      <c r="D168" s="17" t="s">
        <v>529</v>
      </c>
      <c r="E168" s="24" t="s">
        <v>16</v>
      </c>
      <c r="F168" s="17"/>
      <c r="G168" s="17" t="s">
        <v>446</v>
      </c>
      <c r="H168" s="17"/>
      <c r="I168" s="17"/>
      <c r="J168" s="17"/>
      <c r="K168" s="17" t="s">
        <v>60</v>
      </c>
      <c r="L168" s="17" t="n">
        <v>137</v>
      </c>
      <c r="M168" s="17" t="n">
        <v>6.9</v>
      </c>
      <c r="N168" s="17"/>
      <c r="O168" s="17"/>
    </row>
    <row r="169" customFormat="false" ht="15" hidden="false" customHeight="false" outlineLevel="0" collapsed="false">
      <c r="A169" s="17" t="s">
        <v>530</v>
      </c>
      <c r="B169" s="18" t="s">
        <v>91</v>
      </c>
      <c r="C169" s="18" t="s">
        <v>12</v>
      </c>
      <c r="D169" s="17" t="s">
        <v>531</v>
      </c>
      <c r="E169" s="24" t="s">
        <v>16</v>
      </c>
      <c r="F169" s="17"/>
      <c r="G169" s="17" t="s">
        <v>446</v>
      </c>
      <c r="H169" s="17"/>
      <c r="I169" s="17"/>
      <c r="J169" s="17"/>
      <c r="K169" s="17" t="s">
        <v>60</v>
      </c>
      <c r="L169" s="17" t="n">
        <v>147</v>
      </c>
      <c r="M169" s="17" t="n">
        <v>7</v>
      </c>
      <c r="N169" s="17"/>
      <c r="O169" s="17"/>
    </row>
    <row r="170" customFormat="false" ht="15" hidden="false" customHeight="false" outlineLevel="0" collapsed="false">
      <c r="A170" s="17" t="s">
        <v>532</v>
      </c>
      <c r="B170" s="18" t="s">
        <v>91</v>
      </c>
      <c r="C170" s="18" t="s">
        <v>12</v>
      </c>
      <c r="D170" s="17" t="s">
        <v>533</v>
      </c>
      <c r="E170" s="24" t="s">
        <v>16</v>
      </c>
      <c r="F170" s="17"/>
      <c r="G170" s="17" t="s">
        <v>446</v>
      </c>
      <c r="H170" s="17"/>
      <c r="I170" s="17"/>
      <c r="J170" s="17"/>
      <c r="K170" s="17" t="s">
        <v>60</v>
      </c>
      <c r="L170" s="17" t="n">
        <v>186</v>
      </c>
      <c r="M170" s="17" t="n">
        <v>19.5</v>
      </c>
      <c r="N170" s="17"/>
      <c r="O170" s="17"/>
    </row>
    <row r="171" customFormat="false" ht="15" hidden="false" customHeight="false" outlineLevel="0" collapsed="false">
      <c r="A171" s="17" t="s">
        <v>534</v>
      </c>
      <c r="B171" s="18" t="s">
        <v>91</v>
      </c>
      <c r="C171" s="18" t="s">
        <v>12</v>
      </c>
      <c r="D171" s="17" t="s">
        <v>535</v>
      </c>
      <c r="E171" s="24" t="s">
        <v>16</v>
      </c>
      <c r="F171" s="17"/>
      <c r="G171" s="17" t="s">
        <v>446</v>
      </c>
      <c r="H171" s="17"/>
      <c r="I171" s="17"/>
      <c r="J171" s="17"/>
      <c r="K171" s="17" t="s">
        <v>60</v>
      </c>
      <c r="L171" s="17" t="n">
        <v>194</v>
      </c>
      <c r="M171" s="17" t="n">
        <v>19.6</v>
      </c>
      <c r="N171" s="17"/>
      <c r="O171" s="17"/>
    </row>
    <row r="172" customFormat="false" ht="15" hidden="false" customHeight="false" outlineLevel="0" collapsed="false">
      <c r="A172" s="17" t="s">
        <v>536</v>
      </c>
      <c r="B172" s="18" t="s">
        <v>91</v>
      </c>
      <c r="C172" s="18" t="s">
        <v>12</v>
      </c>
      <c r="D172" s="17" t="s">
        <v>537</v>
      </c>
      <c r="E172" s="24" t="s">
        <v>16</v>
      </c>
      <c r="F172" s="17"/>
      <c r="G172" s="17" t="s">
        <v>446</v>
      </c>
      <c r="H172" s="17"/>
      <c r="I172" s="17"/>
      <c r="J172" s="17"/>
      <c r="K172" s="17" t="s">
        <v>60</v>
      </c>
      <c r="L172" s="17" t="n">
        <v>203</v>
      </c>
      <c r="M172" s="17" t="n">
        <v>29.8</v>
      </c>
      <c r="N172" s="17"/>
      <c r="O172" s="17"/>
    </row>
    <row r="173" customFormat="false" ht="15" hidden="false" customHeight="false" outlineLevel="0" collapsed="false">
      <c r="A173" s="17" t="s">
        <v>538</v>
      </c>
      <c r="B173" s="18" t="s">
        <v>91</v>
      </c>
      <c r="C173" s="18" t="s">
        <v>12</v>
      </c>
      <c r="D173" s="17" t="s">
        <v>539</v>
      </c>
      <c r="E173" s="24" t="s">
        <v>16</v>
      </c>
      <c r="F173" s="17"/>
      <c r="G173" s="17" t="s">
        <v>446</v>
      </c>
      <c r="H173" s="17"/>
      <c r="I173" s="17"/>
      <c r="J173" s="17"/>
      <c r="K173" s="17" t="s">
        <v>60</v>
      </c>
      <c r="L173" s="17" t="n">
        <v>217</v>
      </c>
      <c r="M173" s="17" t="n">
        <v>30.6</v>
      </c>
      <c r="N173" s="17"/>
      <c r="O173" s="17"/>
    </row>
    <row r="174" customFormat="false" ht="15" hidden="false" customHeight="false" outlineLevel="0" collapsed="false">
      <c r="A174" s="17" t="s">
        <v>540</v>
      </c>
      <c r="B174" s="18" t="s">
        <v>91</v>
      </c>
      <c r="C174" s="18" t="s">
        <v>12</v>
      </c>
      <c r="D174" s="17" t="s">
        <v>541</v>
      </c>
      <c r="E174" s="24" t="s">
        <v>16</v>
      </c>
      <c r="F174" s="17"/>
      <c r="G174" s="17" t="s">
        <v>446</v>
      </c>
      <c r="H174" s="17"/>
      <c r="I174" s="17"/>
      <c r="J174" s="17"/>
      <c r="K174" s="17" t="s">
        <v>60</v>
      </c>
      <c r="L174" s="17" t="n">
        <v>229</v>
      </c>
      <c r="M174" s="17" t="n">
        <v>20.3</v>
      </c>
      <c r="N174" s="17"/>
      <c r="O174" s="17"/>
    </row>
    <row r="175" customFormat="false" ht="15" hidden="false" customHeight="false" outlineLevel="0" collapsed="false">
      <c r="A175" s="17" t="s">
        <v>542</v>
      </c>
      <c r="B175" s="18" t="s">
        <v>91</v>
      </c>
      <c r="C175" s="18" t="s">
        <v>12</v>
      </c>
      <c r="D175" s="17" t="s">
        <v>543</v>
      </c>
      <c r="E175" s="24" t="s">
        <v>16</v>
      </c>
      <c r="F175" s="17"/>
      <c r="G175" s="17" t="s">
        <v>446</v>
      </c>
      <c r="H175" s="17"/>
      <c r="I175" s="17"/>
      <c r="J175" s="17"/>
      <c r="K175" s="17" t="s">
        <v>60</v>
      </c>
      <c r="L175" s="17" t="n">
        <v>252</v>
      </c>
      <c r="M175" s="17" t="n">
        <v>38.5</v>
      </c>
      <c r="N175" s="17"/>
      <c r="O175" s="17"/>
    </row>
    <row r="176" customFormat="false" ht="15" hidden="false" customHeight="false" outlineLevel="0" collapsed="false">
      <c r="A176" s="17" t="s">
        <v>544</v>
      </c>
      <c r="B176" s="18" t="s">
        <v>91</v>
      </c>
      <c r="C176" s="18" t="s">
        <v>12</v>
      </c>
      <c r="D176" s="17" t="s">
        <v>545</v>
      </c>
      <c r="E176" s="24" t="s">
        <v>16</v>
      </c>
      <c r="F176" s="17"/>
      <c r="G176" s="17" t="s">
        <v>446</v>
      </c>
      <c r="H176" s="17"/>
      <c r="I176" s="17"/>
      <c r="J176" s="17"/>
      <c r="K176" s="17" t="s">
        <v>60</v>
      </c>
      <c r="L176" s="17" t="n">
        <v>276</v>
      </c>
      <c r="M176" s="17" t="n">
        <v>17.8</v>
      </c>
      <c r="N176" s="17"/>
      <c r="O176" s="17"/>
    </row>
    <row r="177" customFormat="false" ht="15" hidden="false" customHeight="false" outlineLevel="0" collapsed="false">
      <c r="A177" s="17" t="s">
        <v>546</v>
      </c>
      <c r="B177" s="18" t="s">
        <v>91</v>
      </c>
      <c r="C177" s="18" t="s">
        <v>12</v>
      </c>
      <c r="D177" s="17" t="s">
        <v>547</v>
      </c>
      <c r="E177" s="24" t="s">
        <v>16</v>
      </c>
      <c r="F177" s="17"/>
      <c r="G177" s="17" t="s">
        <v>446</v>
      </c>
      <c r="H177" s="17"/>
      <c r="I177" s="17"/>
      <c r="J177" s="17"/>
      <c r="K177" s="17" t="s">
        <v>60</v>
      </c>
      <c r="L177" s="17" t="n">
        <v>293</v>
      </c>
      <c r="M177" s="17" t="n">
        <v>18</v>
      </c>
      <c r="N177" s="17"/>
      <c r="O177" s="17"/>
    </row>
    <row r="178" customFormat="false" ht="15" hidden="false" customHeight="false" outlineLevel="0" collapsed="false">
      <c r="A178" s="17" t="s">
        <v>548</v>
      </c>
      <c r="B178" s="18" t="s">
        <v>91</v>
      </c>
      <c r="C178" s="18" t="s">
        <v>12</v>
      </c>
      <c r="D178" s="17" t="s">
        <v>549</v>
      </c>
      <c r="E178" s="24" t="s">
        <v>16</v>
      </c>
      <c r="F178" s="17"/>
      <c r="G178" s="17" t="s">
        <v>446</v>
      </c>
      <c r="H178" s="17"/>
      <c r="I178" s="17"/>
      <c r="J178" s="17"/>
      <c r="K178" s="17" t="s">
        <v>60</v>
      </c>
      <c r="L178" s="17" t="n">
        <v>305</v>
      </c>
      <c r="M178" s="17" t="n">
        <v>9.8</v>
      </c>
      <c r="N178" s="17"/>
      <c r="O178" s="17"/>
    </row>
    <row r="179" customFormat="false" ht="15" hidden="false" customHeight="false" outlineLevel="0" collapsed="false">
      <c r="A179" s="17" t="s">
        <v>550</v>
      </c>
      <c r="B179" s="18" t="s">
        <v>91</v>
      </c>
      <c r="C179" s="18" t="s">
        <v>12</v>
      </c>
      <c r="D179" s="17" t="s">
        <v>551</v>
      </c>
      <c r="E179" s="24" t="s">
        <v>16</v>
      </c>
      <c r="F179" s="17"/>
      <c r="G179" s="17" t="s">
        <v>446</v>
      </c>
      <c r="H179" s="17"/>
      <c r="I179" s="17"/>
      <c r="J179" s="17"/>
      <c r="K179" s="17" t="s">
        <v>60</v>
      </c>
      <c r="L179" s="17" t="n">
        <v>316</v>
      </c>
      <c r="M179" s="17" t="n">
        <v>6.7</v>
      </c>
      <c r="N179" s="17"/>
      <c r="O179" s="17"/>
    </row>
    <row r="180" customFormat="false" ht="15" hidden="false" customHeight="false" outlineLevel="0" collapsed="false">
      <c r="A180" s="17" t="s">
        <v>552</v>
      </c>
      <c r="B180" s="18" t="s">
        <v>91</v>
      </c>
      <c r="C180" s="18" t="s">
        <v>12</v>
      </c>
      <c r="D180" s="17" t="s">
        <v>553</v>
      </c>
      <c r="E180" s="24" t="s">
        <v>16</v>
      </c>
      <c r="F180" s="17"/>
      <c r="G180" s="17" t="s">
        <v>446</v>
      </c>
      <c r="H180" s="17"/>
      <c r="I180" s="17"/>
      <c r="J180" s="17"/>
      <c r="K180" s="17" t="s">
        <v>60</v>
      </c>
      <c r="L180" s="17" t="n">
        <v>330</v>
      </c>
      <c r="M180" s="17" t="n">
        <v>7</v>
      </c>
      <c r="N180" s="17"/>
      <c r="O180" s="17"/>
    </row>
    <row r="181" customFormat="false" ht="15" hidden="false" customHeight="false" outlineLevel="0" collapsed="false">
      <c r="A181" s="17" t="s">
        <v>554</v>
      </c>
      <c r="B181" s="18" t="s">
        <v>91</v>
      </c>
      <c r="C181" s="18" t="s">
        <v>12</v>
      </c>
      <c r="D181" s="17" t="s">
        <v>555</v>
      </c>
      <c r="E181" s="24" t="s">
        <v>16</v>
      </c>
      <c r="F181" s="17"/>
      <c r="G181" s="17" t="s">
        <v>446</v>
      </c>
      <c r="H181" s="17"/>
      <c r="I181" s="17"/>
      <c r="J181" s="17"/>
      <c r="K181" s="17" t="s">
        <v>60</v>
      </c>
      <c r="L181" s="17" t="n">
        <v>338</v>
      </c>
      <c r="M181" s="17" t="n">
        <v>9.1</v>
      </c>
      <c r="N181" s="17"/>
      <c r="O181" s="17"/>
    </row>
    <row r="182" customFormat="false" ht="15" hidden="false" customHeight="false" outlineLevel="0" collapsed="false">
      <c r="A182" s="17" t="s">
        <v>556</v>
      </c>
      <c r="B182" s="18" t="s">
        <v>91</v>
      </c>
      <c r="C182" s="18" t="s">
        <v>12</v>
      </c>
      <c r="D182" s="17" t="s">
        <v>557</v>
      </c>
      <c r="E182" s="24" t="s">
        <v>16</v>
      </c>
      <c r="F182" s="17"/>
      <c r="G182" s="17" t="s">
        <v>446</v>
      </c>
      <c r="H182" s="17"/>
      <c r="I182" s="17"/>
      <c r="J182" s="17"/>
      <c r="K182" s="17" t="s">
        <v>60</v>
      </c>
      <c r="L182" s="17" t="n">
        <v>351</v>
      </c>
      <c r="M182" s="17" t="n">
        <v>27.8</v>
      </c>
      <c r="N182" s="17"/>
      <c r="O182" s="17"/>
    </row>
    <row r="183" customFormat="false" ht="15" hidden="false" customHeight="false" outlineLevel="0" collapsed="false">
      <c r="A183" s="17" t="s">
        <v>558</v>
      </c>
      <c r="B183" s="18" t="s">
        <v>91</v>
      </c>
      <c r="C183" s="18" t="s">
        <v>12</v>
      </c>
      <c r="D183" s="17" t="s">
        <v>559</v>
      </c>
      <c r="E183" s="24" t="s">
        <v>16</v>
      </c>
      <c r="F183" s="17"/>
      <c r="G183" s="17" t="s">
        <v>446</v>
      </c>
      <c r="H183" s="17"/>
      <c r="I183" s="17"/>
      <c r="J183" s="17"/>
      <c r="K183" s="17" t="s">
        <v>60</v>
      </c>
      <c r="L183" s="17" t="n">
        <v>417</v>
      </c>
      <c r="M183" s="17" t="n">
        <v>13.6</v>
      </c>
      <c r="N183" s="17"/>
      <c r="O183" s="17"/>
    </row>
    <row r="184" customFormat="false" ht="15" hidden="false" customHeight="false" outlineLevel="0" collapsed="false">
      <c r="A184" s="17" t="s">
        <v>560</v>
      </c>
      <c r="B184" s="18" t="s">
        <v>91</v>
      </c>
      <c r="C184" s="18" t="s">
        <v>12</v>
      </c>
      <c r="D184" s="17" t="s">
        <v>561</v>
      </c>
      <c r="E184" s="24" t="s">
        <v>16</v>
      </c>
      <c r="F184" s="17"/>
      <c r="G184" s="17" t="s">
        <v>446</v>
      </c>
      <c r="H184" s="17"/>
      <c r="I184" s="17"/>
      <c r="J184" s="17"/>
      <c r="K184" s="17" t="s">
        <v>61</v>
      </c>
      <c r="L184" s="17" t="n">
        <v>28</v>
      </c>
      <c r="M184" s="17" t="n">
        <v>2.2</v>
      </c>
      <c r="N184" s="17"/>
      <c r="O184" s="17"/>
    </row>
    <row r="185" customFormat="false" ht="15" hidden="false" customHeight="false" outlineLevel="0" collapsed="false">
      <c r="A185" s="17" t="s">
        <v>562</v>
      </c>
      <c r="B185" s="18" t="s">
        <v>91</v>
      </c>
      <c r="C185" s="18" t="s">
        <v>12</v>
      </c>
      <c r="D185" s="17" t="s">
        <v>563</v>
      </c>
      <c r="E185" s="24" t="s">
        <v>16</v>
      </c>
      <c r="F185" s="17"/>
      <c r="G185" s="17" t="s">
        <v>446</v>
      </c>
      <c r="H185" s="17"/>
      <c r="I185" s="17"/>
      <c r="J185" s="17"/>
      <c r="K185" s="17" t="s">
        <v>61</v>
      </c>
      <c r="L185" s="17" t="n">
        <v>43</v>
      </c>
      <c r="M185" s="17" t="n">
        <v>2.3</v>
      </c>
      <c r="N185" s="17"/>
      <c r="O185" s="17"/>
    </row>
    <row r="186" customFormat="false" ht="15" hidden="false" customHeight="false" outlineLevel="0" collapsed="false">
      <c r="A186" s="17" t="s">
        <v>564</v>
      </c>
      <c r="B186" s="18" t="s">
        <v>91</v>
      </c>
      <c r="C186" s="18" t="s">
        <v>12</v>
      </c>
      <c r="D186" s="17" t="s">
        <v>565</v>
      </c>
      <c r="E186" s="24" t="s">
        <v>16</v>
      </c>
      <c r="F186" s="17"/>
      <c r="G186" s="17" t="s">
        <v>446</v>
      </c>
      <c r="H186" s="17"/>
      <c r="I186" s="17"/>
      <c r="J186" s="17"/>
      <c r="K186" s="17" t="s">
        <v>61</v>
      </c>
      <c r="L186" s="17" t="n">
        <v>51</v>
      </c>
      <c r="M186" s="17" t="n">
        <v>3.2</v>
      </c>
      <c r="N186" s="17"/>
      <c r="O186" s="17"/>
    </row>
    <row r="187" customFormat="false" ht="15" hidden="false" customHeight="false" outlineLevel="0" collapsed="false">
      <c r="A187" s="17" t="s">
        <v>566</v>
      </c>
      <c r="B187" s="18" t="s">
        <v>91</v>
      </c>
      <c r="C187" s="18" t="s">
        <v>12</v>
      </c>
      <c r="D187" s="17" t="s">
        <v>567</v>
      </c>
      <c r="E187" s="24" t="s">
        <v>16</v>
      </c>
      <c r="F187" s="17"/>
      <c r="G187" s="17" t="s">
        <v>446</v>
      </c>
      <c r="H187" s="17"/>
      <c r="I187" s="17"/>
      <c r="J187" s="17"/>
      <c r="K187" s="17" t="s">
        <v>61</v>
      </c>
      <c r="L187" s="17" t="n">
        <v>59</v>
      </c>
      <c r="M187" s="17" t="n">
        <v>3.1</v>
      </c>
      <c r="N187" s="17"/>
      <c r="O187" s="17"/>
    </row>
    <row r="188" customFormat="false" ht="15" hidden="false" customHeight="false" outlineLevel="0" collapsed="false">
      <c r="A188" s="17" t="s">
        <v>568</v>
      </c>
      <c r="B188" s="18" t="s">
        <v>91</v>
      </c>
      <c r="C188" s="18" t="s">
        <v>12</v>
      </c>
      <c r="D188" s="17" t="s">
        <v>569</v>
      </c>
      <c r="E188" s="24" t="s">
        <v>16</v>
      </c>
      <c r="F188" s="17"/>
      <c r="G188" s="17" t="s">
        <v>446</v>
      </c>
      <c r="H188" s="17"/>
      <c r="I188" s="17"/>
      <c r="J188" s="17"/>
      <c r="K188" s="17" t="s">
        <v>61</v>
      </c>
      <c r="L188" s="17" t="n">
        <v>67</v>
      </c>
      <c r="M188" s="17" t="n">
        <v>3.2</v>
      </c>
      <c r="N188" s="17"/>
      <c r="O188" s="17"/>
    </row>
    <row r="189" customFormat="false" ht="15" hidden="false" customHeight="false" outlineLevel="0" collapsed="false">
      <c r="A189" s="17" t="s">
        <v>570</v>
      </c>
      <c r="B189" s="18" t="s">
        <v>91</v>
      </c>
      <c r="C189" s="18" t="s">
        <v>12</v>
      </c>
      <c r="D189" s="17" t="s">
        <v>571</v>
      </c>
      <c r="E189" s="24" t="s">
        <v>16</v>
      </c>
      <c r="F189" s="17"/>
      <c r="G189" s="17" t="s">
        <v>446</v>
      </c>
      <c r="H189" s="17"/>
      <c r="I189" s="17"/>
      <c r="J189" s="17"/>
      <c r="K189" s="17" t="s">
        <v>61</v>
      </c>
      <c r="L189" s="17" t="n">
        <v>93</v>
      </c>
      <c r="M189" s="17" t="n">
        <v>10.2</v>
      </c>
      <c r="N189" s="17"/>
      <c r="O189" s="17"/>
    </row>
    <row r="190" customFormat="false" ht="15" hidden="false" customHeight="false" outlineLevel="0" collapsed="false">
      <c r="A190" s="17" t="s">
        <v>572</v>
      </c>
      <c r="B190" s="18" t="s">
        <v>91</v>
      </c>
      <c r="C190" s="18" t="s">
        <v>12</v>
      </c>
      <c r="D190" s="17" t="s">
        <v>573</v>
      </c>
      <c r="E190" s="24" t="s">
        <v>16</v>
      </c>
      <c r="F190" s="17"/>
      <c r="G190" s="17" t="s">
        <v>446</v>
      </c>
      <c r="H190" s="17"/>
      <c r="I190" s="17"/>
      <c r="J190" s="17"/>
      <c r="K190" s="17" t="s">
        <v>61</v>
      </c>
      <c r="L190" s="17" t="n">
        <v>119</v>
      </c>
      <c r="M190" s="17" t="n">
        <v>10.3</v>
      </c>
      <c r="N190" s="17"/>
      <c r="O190" s="17"/>
    </row>
    <row r="191" customFormat="false" ht="15" hidden="false" customHeight="false" outlineLevel="0" collapsed="false">
      <c r="A191" s="17" t="s">
        <v>574</v>
      </c>
      <c r="B191" s="18" t="s">
        <v>91</v>
      </c>
      <c r="C191" s="18" t="s">
        <v>12</v>
      </c>
      <c r="D191" s="17" t="s">
        <v>575</v>
      </c>
      <c r="E191" s="24" t="s">
        <v>16</v>
      </c>
      <c r="F191" s="17"/>
      <c r="G191" s="17" t="s">
        <v>446</v>
      </c>
      <c r="H191" s="17"/>
      <c r="I191" s="17"/>
      <c r="J191" s="17"/>
      <c r="K191" s="17" t="s">
        <v>61</v>
      </c>
      <c r="L191" s="17" t="n">
        <v>132</v>
      </c>
      <c r="M191" s="17" t="n">
        <v>8.2</v>
      </c>
      <c r="N191" s="17"/>
      <c r="O191" s="17"/>
    </row>
    <row r="192" customFormat="false" ht="15" hidden="false" customHeight="false" outlineLevel="0" collapsed="false">
      <c r="A192" s="17" t="s">
        <v>576</v>
      </c>
      <c r="B192" s="18" t="s">
        <v>91</v>
      </c>
      <c r="C192" s="18" t="s">
        <v>12</v>
      </c>
      <c r="D192" s="17" t="s">
        <v>577</v>
      </c>
      <c r="E192" s="24" t="s">
        <v>16</v>
      </c>
      <c r="F192" s="17"/>
      <c r="G192" s="17" t="s">
        <v>446</v>
      </c>
      <c r="H192" s="17"/>
      <c r="I192" s="17"/>
      <c r="J192" s="17"/>
      <c r="K192" s="17" t="s">
        <v>61</v>
      </c>
      <c r="L192" s="17" t="n">
        <v>150</v>
      </c>
      <c r="M192" s="17" t="n">
        <v>8.9</v>
      </c>
      <c r="N192" s="17"/>
      <c r="O192" s="17"/>
    </row>
    <row r="193" customFormat="false" ht="15" hidden="false" customHeight="false" outlineLevel="0" collapsed="false">
      <c r="A193" s="17" t="s">
        <v>578</v>
      </c>
      <c r="B193" s="18" t="s">
        <v>91</v>
      </c>
      <c r="C193" s="18" t="s">
        <v>12</v>
      </c>
      <c r="D193" s="17" t="s">
        <v>579</v>
      </c>
      <c r="E193" s="24" t="s">
        <v>16</v>
      </c>
      <c r="F193" s="17"/>
      <c r="G193" s="17" t="s">
        <v>446</v>
      </c>
      <c r="H193" s="17"/>
      <c r="I193" s="17"/>
      <c r="J193" s="17"/>
      <c r="K193" s="17" t="s">
        <v>61</v>
      </c>
      <c r="L193" s="17" t="n">
        <v>159</v>
      </c>
      <c r="M193" s="17" t="n">
        <v>0.6</v>
      </c>
      <c r="N193" s="17"/>
      <c r="O193" s="17"/>
    </row>
    <row r="194" customFormat="false" ht="15" hidden="false" customHeight="false" outlineLevel="0" collapsed="false">
      <c r="A194" s="17" t="s">
        <v>580</v>
      </c>
      <c r="B194" s="18" t="s">
        <v>91</v>
      </c>
      <c r="C194" s="18" t="s">
        <v>12</v>
      </c>
      <c r="D194" s="17" t="s">
        <v>581</v>
      </c>
      <c r="E194" s="24" t="s">
        <v>16</v>
      </c>
      <c r="F194" s="17"/>
      <c r="G194" s="17" t="s">
        <v>446</v>
      </c>
      <c r="H194" s="17"/>
      <c r="I194" s="17"/>
      <c r="J194" s="17"/>
      <c r="K194" s="17" t="s">
        <v>62</v>
      </c>
      <c r="L194" s="17" t="n">
        <v>91</v>
      </c>
      <c r="M194" s="17" t="n">
        <v>12.9</v>
      </c>
      <c r="N194" s="17"/>
      <c r="O194" s="17"/>
    </row>
    <row r="195" customFormat="false" ht="15" hidden="false" customHeight="false" outlineLevel="0" collapsed="false">
      <c r="A195" s="17" t="s">
        <v>582</v>
      </c>
      <c r="B195" s="18" t="s">
        <v>91</v>
      </c>
      <c r="C195" s="18" t="s">
        <v>12</v>
      </c>
      <c r="D195" s="17" t="s">
        <v>583</v>
      </c>
      <c r="E195" s="24" t="s">
        <v>16</v>
      </c>
      <c r="F195" s="17"/>
      <c r="G195" s="17" t="s">
        <v>446</v>
      </c>
      <c r="H195" s="17"/>
      <c r="I195" s="17"/>
      <c r="J195" s="17"/>
      <c r="K195" s="17" t="s">
        <v>64</v>
      </c>
      <c r="L195" s="17" t="n">
        <v>136</v>
      </c>
      <c r="M195" s="17" t="n">
        <v>15.3</v>
      </c>
      <c r="N195" s="17"/>
      <c r="O195" s="17"/>
    </row>
    <row r="196" customFormat="false" ht="15" hidden="false" customHeight="false" outlineLevel="0" collapsed="false">
      <c r="A196" s="17" t="s">
        <v>584</v>
      </c>
      <c r="B196" s="18" t="s">
        <v>91</v>
      </c>
      <c r="C196" s="18" t="s">
        <v>12</v>
      </c>
      <c r="D196" s="17" t="s">
        <v>585</v>
      </c>
      <c r="E196" s="24" t="s">
        <v>16</v>
      </c>
      <c r="F196" s="17"/>
      <c r="G196" s="17" t="s">
        <v>446</v>
      </c>
      <c r="H196" s="17"/>
      <c r="I196" s="17"/>
      <c r="J196" s="17"/>
      <c r="K196" s="17" t="s">
        <v>64</v>
      </c>
      <c r="L196" s="17" t="n">
        <v>136</v>
      </c>
      <c r="M196" s="17" t="n">
        <v>15.9</v>
      </c>
      <c r="N196" s="17"/>
      <c r="O196" s="17"/>
    </row>
    <row r="197" customFormat="false" ht="15" hidden="false" customHeight="false" outlineLevel="0" collapsed="false">
      <c r="A197" s="17" t="s">
        <v>586</v>
      </c>
      <c r="B197" s="18" t="s">
        <v>91</v>
      </c>
      <c r="C197" s="18" t="s">
        <v>12</v>
      </c>
      <c r="D197" s="17" t="s">
        <v>587</v>
      </c>
      <c r="E197" s="24" t="s">
        <v>16</v>
      </c>
      <c r="F197" s="17"/>
      <c r="G197" s="17" t="s">
        <v>446</v>
      </c>
      <c r="H197" s="17"/>
      <c r="I197" s="17"/>
      <c r="J197" s="17"/>
      <c r="K197" s="17" t="s">
        <v>64</v>
      </c>
      <c r="L197" s="17" t="n">
        <v>136</v>
      </c>
      <c r="M197" s="17" t="n">
        <v>14.3</v>
      </c>
      <c r="N197" s="17"/>
      <c r="O197" s="17"/>
    </row>
    <row r="198" customFormat="false" ht="15" hidden="false" customHeight="false" outlineLevel="0" collapsed="false">
      <c r="A198" s="17" t="s">
        <v>588</v>
      </c>
      <c r="B198" s="18" t="s">
        <v>91</v>
      </c>
      <c r="C198" s="18" t="s">
        <v>12</v>
      </c>
      <c r="D198" s="17" t="s">
        <v>589</v>
      </c>
      <c r="E198" s="24" t="s">
        <v>16</v>
      </c>
      <c r="F198" s="17"/>
      <c r="G198" s="17" t="s">
        <v>446</v>
      </c>
      <c r="H198" s="17"/>
      <c r="I198" s="17"/>
      <c r="J198" s="17"/>
      <c r="K198" s="17" t="s">
        <v>64</v>
      </c>
      <c r="L198" s="17" t="n">
        <v>136</v>
      </c>
      <c r="M198" s="17" t="n">
        <v>14.7</v>
      </c>
      <c r="N198" s="17"/>
      <c r="O198" s="17"/>
    </row>
    <row r="199" customFormat="false" ht="15" hidden="false" customHeight="false" outlineLevel="0" collapsed="false">
      <c r="A199" s="17" t="s">
        <v>590</v>
      </c>
      <c r="B199" s="18" t="s">
        <v>91</v>
      </c>
      <c r="C199" s="18" t="s">
        <v>12</v>
      </c>
      <c r="D199" s="17" t="s">
        <v>591</v>
      </c>
      <c r="E199" s="24" t="s">
        <v>16</v>
      </c>
      <c r="F199" s="17"/>
      <c r="G199" s="17" t="s">
        <v>446</v>
      </c>
      <c r="H199" s="17"/>
      <c r="I199" s="17"/>
      <c r="J199" s="17"/>
      <c r="K199" s="17" t="s">
        <v>64</v>
      </c>
      <c r="L199" s="17" t="n">
        <v>185</v>
      </c>
      <c r="M199" s="17" t="n">
        <v>15.3</v>
      </c>
      <c r="N199" s="17"/>
      <c r="O199" s="17"/>
    </row>
    <row r="200" customFormat="false" ht="15" hidden="false" customHeight="false" outlineLevel="0" collapsed="false">
      <c r="A200" s="17" t="s">
        <v>592</v>
      </c>
      <c r="B200" s="18" t="s">
        <v>91</v>
      </c>
      <c r="C200" s="18" t="s">
        <v>12</v>
      </c>
      <c r="D200" s="17" t="s">
        <v>593</v>
      </c>
      <c r="E200" s="24" t="s">
        <v>16</v>
      </c>
      <c r="F200" s="17"/>
      <c r="G200" s="17" t="s">
        <v>446</v>
      </c>
      <c r="H200" s="17"/>
      <c r="I200" s="17"/>
      <c r="J200" s="17"/>
      <c r="K200" s="17" t="s">
        <v>64</v>
      </c>
      <c r="L200" s="17" t="n">
        <v>214</v>
      </c>
      <c r="M200" s="17" t="n">
        <v>6.6</v>
      </c>
      <c r="N200" s="17"/>
      <c r="O200" s="17"/>
    </row>
    <row r="201" customFormat="false" ht="15" hidden="false" customHeight="false" outlineLevel="0" collapsed="false">
      <c r="A201" s="17" t="s">
        <v>594</v>
      </c>
      <c r="B201" s="18" t="s">
        <v>91</v>
      </c>
      <c r="C201" s="18" t="s">
        <v>12</v>
      </c>
      <c r="D201" s="17" t="s">
        <v>595</v>
      </c>
      <c r="E201" s="24" t="s">
        <v>16</v>
      </c>
      <c r="F201" s="17"/>
      <c r="G201" s="17" t="s">
        <v>446</v>
      </c>
      <c r="H201" s="17"/>
      <c r="I201" s="17"/>
      <c r="J201" s="17"/>
      <c r="K201" s="17" t="s">
        <v>64</v>
      </c>
      <c r="L201" s="17" t="n">
        <v>230</v>
      </c>
      <c r="M201" s="17" t="n">
        <v>7.8</v>
      </c>
      <c r="N201" s="17"/>
      <c r="O201" s="17"/>
    </row>
    <row r="202" customFormat="false" ht="15" hidden="false" customHeight="false" outlineLevel="0" collapsed="false">
      <c r="A202" s="17" t="s">
        <v>596</v>
      </c>
      <c r="B202" s="18" t="s">
        <v>91</v>
      </c>
      <c r="C202" s="18" t="s">
        <v>12</v>
      </c>
      <c r="D202" s="17" t="s">
        <v>597</v>
      </c>
      <c r="E202" s="24" t="s">
        <v>16</v>
      </c>
      <c r="F202" s="17"/>
      <c r="G202" s="17" t="s">
        <v>446</v>
      </c>
      <c r="H202" s="17"/>
      <c r="I202" s="17"/>
      <c r="J202" s="17"/>
      <c r="K202" s="17" t="s">
        <v>64</v>
      </c>
      <c r="L202" s="17" t="n">
        <v>235</v>
      </c>
      <c r="M202" s="17" t="n">
        <v>6.9</v>
      </c>
      <c r="N202" s="17"/>
      <c r="O202" s="17"/>
    </row>
    <row r="203" customFormat="false" ht="15" hidden="false" customHeight="false" outlineLevel="0" collapsed="false">
      <c r="A203" s="17" t="s">
        <v>598</v>
      </c>
      <c r="B203" s="18" t="s">
        <v>91</v>
      </c>
      <c r="C203" s="18" t="s">
        <v>12</v>
      </c>
      <c r="D203" s="17" t="s">
        <v>599</v>
      </c>
      <c r="E203" s="24" t="s">
        <v>16</v>
      </c>
      <c r="F203" s="17"/>
      <c r="G203" s="17" t="s">
        <v>446</v>
      </c>
      <c r="H203" s="17"/>
      <c r="I203" s="17"/>
      <c r="J203" s="17"/>
      <c r="K203" s="17" t="s">
        <v>64</v>
      </c>
      <c r="L203" s="17" t="n">
        <v>243</v>
      </c>
      <c r="M203" s="17" t="n">
        <v>20</v>
      </c>
      <c r="N203" s="17"/>
      <c r="O203" s="17"/>
    </row>
    <row r="204" customFormat="false" ht="15" hidden="false" customHeight="false" outlineLevel="0" collapsed="false">
      <c r="A204" s="17" t="s">
        <v>600</v>
      </c>
      <c r="B204" s="18" t="s">
        <v>91</v>
      </c>
      <c r="C204" s="18" t="s">
        <v>12</v>
      </c>
      <c r="D204" s="17" t="s">
        <v>601</v>
      </c>
      <c r="E204" s="24" t="s">
        <v>16</v>
      </c>
      <c r="F204" s="17"/>
      <c r="G204" s="17" t="s">
        <v>446</v>
      </c>
      <c r="H204" s="17"/>
      <c r="I204" s="17"/>
      <c r="J204" s="17"/>
      <c r="K204" s="17" t="s">
        <v>64</v>
      </c>
      <c r="L204" s="17" t="n">
        <v>279</v>
      </c>
      <c r="M204" s="17" t="n">
        <v>7</v>
      </c>
      <c r="N204" s="17"/>
      <c r="O204" s="17"/>
    </row>
    <row r="205" customFormat="false" ht="15" hidden="false" customHeight="false" outlineLevel="0" collapsed="false">
      <c r="A205" s="17"/>
      <c r="B205" s="17"/>
      <c r="C205" s="18" t="s">
        <v>12</v>
      </c>
      <c r="D205" s="17" t="s">
        <v>602</v>
      </c>
      <c r="E205" s="24" t="s">
        <v>16</v>
      </c>
      <c r="F205" s="17"/>
      <c r="G205" s="17" t="s">
        <v>446</v>
      </c>
      <c r="H205" s="17"/>
      <c r="I205" s="17"/>
      <c r="J205" s="17"/>
      <c r="K205" s="17" t="s">
        <v>65</v>
      </c>
      <c r="L205" s="17" t="n">
        <v>27</v>
      </c>
      <c r="M205" s="17" t="n">
        <v>9.6</v>
      </c>
      <c r="N205" s="17"/>
      <c r="O205" s="17"/>
    </row>
    <row r="206" customFormat="false" ht="15" hidden="false" customHeight="false" outlineLevel="0" collapsed="false">
      <c r="A206" s="17" t="s">
        <v>603</v>
      </c>
      <c r="B206" s="18" t="s">
        <v>91</v>
      </c>
      <c r="C206" s="18" t="s">
        <v>12</v>
      </c>
      <c r="D206" s="17" t="s">
        <v>604</v>
      </c>
      <c r="E206" s="24" t="s">
        <v>16</v>
      </c>
      <c r="F206" s="17"/>
      <c r="G206" s="17" t="s">
        <v>446</v>
      </c>
      <c r="H206" s="17"/>
      <c r="I206" s="17"/>
      <c r="J206" s="17"/>
      <c r="K206" s="17" t="s">
        <v>65</v>
      </c>
      <c r="L206" s="17" t="n">
        <v>61</v>
      </c>
      <c r="M206" s="17" t="n">
        <v>19.9</v>
      </c>
      <c r="N206" s="17"/>
      <c r="O206" s="17"/>
    </row>
    <row r="207" customFormat="false" ht="15" hidden="false" customHeight="false" outlineLevel="0" collapsed="false">
      <c r="A207" s="17" t="s">
        <v>605</v>
      </c>
      <c r="B207" s="18" t="s">
        <v>91</v>
      </c>
      <c r="C207" s="18" t="s">
        <v>12</v>
      </c>
      <c r="D207" s="17" t="s">
        <v>606</v>
      </c>
      <c r="E207" s="24" t="s">
        <v>16</v>
      </c>
      <c r="F207" s="17"/>
      <c r="G207" s="17" t="s">
        <v>446</v>
      </c>
      <c r="H207" s="17"/>
      <c r="I207" s="17"/>
      <c r="J207" s="17"/>
      <c r="K207" s="17" t="s">
        <v>65</v>
      </c>
      <c r="L207" s="17" t="n">
        <v>61</v>
      </c>
      <c r="M207" s="17" t="n">
        <v>18.8</v>
      </c>
      <c r="N207" s="17"/>
      <c r="O207" s="17"/>
    </row>
    <row r="208" customFormat="false" ht="15" hidden="false" customHeight="false" outlineLevel="0" collapsed="false">
      <c r="A208" s="17" t="s">
        <v>607</v>
      </c>
      <c r="B208" s="18" t="s">
        <v>91</v>
      </c>
      <c r="C208" s="18" t="s">
        <v>12</v>
      </c>
      <c r="D208" s="17" t="s">
        <v>608</v>
      </c>
      <c r="E208" s="24" t="s">
        <v>16</v>
      </c>
      <c r="F208" s="17"/>
      <c r="G208" s="17" t="s">
        <v>446</v>
      </c>
      <c r="H208" s="17"/>
      <c r="I208" s="17"/>
      <c r="J208" s="17"/>
      <c r="K208" s="17" t="s">
        <v>65</v>
      </c>
      <c r="L208" s="17" t="n">
        <v>61</v>
      </c>
      <c r="M208" s="17" t="n">
        <v>19.9</v>
      </c>
      <c r="N208" s="17"/>
      <c r="O208" s="17"/>
    </row>
    <row r="209" customFormat="false" ht="15" hidden="false" customHeight="false" outlineLevel="0" collapsed="false">
      <c r="A209" s="17" t="s">
        <v>609</v>
      </c>
      <c r="B209" s="18" t="s">
        <v>91</v>
      </c>
      <c r="C209" s="18" t="s">
        <v>12</v>
      </c>
      <c r="D209" s="17" t="s">
        <v>610</v>
      </c>
      <c r="E209" s="24" t="s">
        <v>16</v>
      </c>
      <c r="F209" s="17"/>
      <c r="G209" s="17" t="s">
        <v>446</v>
      </c>
      <c r="H209" s="17"/>
      <c r="I209" s="17"/>
      <c r="J209" s="17"/>
      <c r="K209" s="17" t="s">
        <v>65</v>
      </c>
      <c r="L209" s="17" t="n">
        <v>61</v>
      </c>
      <c r="M209" s="17" t="n">
        <v>19.2</v>
      </c>
      <c r="N209" s="17"/>
      <c r="O209" s="17"/>
    </row>
    <row r="210" customFormat="false" ht="15" hidden="false" customHeight="false" outlineLevel="0" collapsed="false">
      <c r="A210" s="17" t="s">
        <v>611</v>
      </c>
      <c r="B210" s="18" t="s">
        <v>91</v>
      </c>
      <c r="C210" s="18" t="s">
        <v>12</v>
      </c>
      <c r="D210" s="17" t="s">
        <v>612</v>
      </c>
      <c r="E210" s="24" t="s">
        <v>16</v>
      </c>
      <c r="F210" s="17"/>
      <c r="G210" s="17" t="s">
        <v>446</v>
      </c>
      <c r="H210" s="17"/>
      <c r="I210" s="17"/>
      <c r="J210" s="17"/>
      <c r="K210" s="17" t="s">
        <v>65</v>
      </c>
      <c r="L210" s="17" t="n">
        <v>61</v>
      </c>
      <c r="M210" s="17" t="n">
        <v>20</v>
      </c>
      <c r="N210" s="17"/>
      <c r="O210" s="17"/>
    </row>
    <row r="211" customFormat="false" ht="15" hidden="false" customHeight="false" outlineLevel="0" collapsed="false">
      <c r="A211" s="17" t="s">
        <v>613</v>
      </c>
      <c r="B211" s="18" t="s">
        <v>91</v>
      </c>
      <c r="C211" s="18" t="s">
        <v>12</v>
      </c>
      <c r="D211" s="17" t="s">
        <v>614</v>
      </c>
      <c r="E211" s="24" t="s">
        <v>16</v>
      </c>
      <c r="F211" s="17"/>
      <c r="G211" s="17" t="s">
        <v>446</v>
      </c>
      <c r="H211" s="17"/>
      <c r="I211" s="17"/>
      <c r="J211" s="17"/>
      <c r="K211" s="17" t="s">
        <v>65</v>
      </c>
      <c r="L211" s="17" t="n">
        <v>61</v>
      </c>
      <c r="M211" s="17" t="n">
        <v>19.7</v>
      </c>
      <c r="N211" s="17"/>
      <c r="O211" s="17"/>
    </row>
    <row r="212" customFormat="false" ht="15" hidden="false" customHeight="false" outlineLevel="0" collapsed="false">
      <c r="A212" s="17" t="s">
        <v>615</v>
      </c>
      <c r="B212" s="18" t="s">
        <v>91</v>
      </c>
      <c r="C212" s="18" t="s">
        <v>12</v>
      </c>
      <c r="D212" s="17" t="s">
        <v>616</v>
      </c>
      <c r="E212" s="24" t="s">
        <v>16</v>
      </c>
      <c r="F212" s="17"/>
      <c r="G212" s="17" t="s">
        <v>446</v>
      </c>
      <c r="H212" s="17"/>
      <c r="I212" s="17"/>
      <c r="J212" s="17"/>
      <c r="K212" s="17" t="s">
        <v>65</v>
      </c>
      <c r="L212" s="17" t="n">
        <v>61</v>
      </c>
      <c r="M212" s="17" t="n">
        <v>19.6</v>
      </c>
      <c r="N212" s="17"/>
      <c r="O212" s="17"/>
    </row>
    <row r="213" customFormat="false" ht="15" hidden="false" customHeight="false" outlineLevel="0" collapsed="false">
      <c r="A213" s="17" t="s">
        <v>617</v>
      </c>
      <c r="B213" s="18" t="s">
        <v>91</v>
      </c>
      <c r="C213" s="18" t="s">
        <v>12</v>
      </c>
      <c r="D213" s="17" t="s">
        <v>618</v>
      </c>
      <c r="E213" s="24" t="s">
        <v>16</v>
      </c>
      <c r="F213" s="17"/>
      <c r="G213" s="17" t="s">
        <v>446</v>
      </c>
      <c r="H213" s="17"/>
      <c r="I213" s="17"/>
      <c r="J213" s="17"/>
      <c r="K213" s="17" t="s">
        <v>65</v>
      </c>
      <c r="L213" s="17" t="n">
        <v>61</v>
      </c>
      <c r="M213" s="17" t="n">
        <v>19.7</v>
      </c>
      <c r="N213" s="17"/>
      <c r="O213" s="17"/>
    </row>
    <row r="214" customFormat="false" ht="15" hidden="false" customHeight="false" outlineLevel="0" collapsed="false">
      <c r="A214" s="17" t="s">
        <v>619</v>
      </c>
      <c r="B214" s="18" t="s">
        <v>91</v>
      </c>
      <c r="C214" s="18" t="s">
        <v>12</v>
      </c>
      <c r="D214" s="17" t="s">
        <v>620</v>
      </c>
      <c r="E214" s="24" t="s">
        <v>16</v>
      </c>
      <c r="F214" s="17"/>
      <c r="G214" s="17" t="s">
        <v>446</v>
      </c>
      <c r="H214" s="17"/>
      <c r="I214" s="17"/>
      <c r="J214" s="17"/>
      <c r="K214" s="17" t="s">
        <v>65</v>
      </c>
      <c r="L214" s="17" t="n">
        <v>61</v>
      </c>
      <c r="M214" s="17" t="n">
        <v>19.6</v>
      </c>
      <c r="N214" s="17"/>
      <c r="O214" s="17"/>
    </row>
    <row r="215" customFormat="false" ht="15" hidden="false" customHeight="false" outlineLevel="0" collapsed="false">
      <c r="A215" s="17" t="s">
        <v>621</v>
      </c>
      <c r="B215" s="18" t="s">
        <v>91</v>
      </c>
      <c r="C215" s="18" t="s">
        <v>12</v>
      </c>
      <c r="D215" s="17" t="s">
        <v>622</v>
      </c>
      <c r="E215" s="24" t="s">
        <v>16</v>
      </c>
      <c r="F215" s="17"/>
      <c r="G215" s="17" t="s">
        <v>446</v>
      </c>
      <c r="H215" s="17"/>
      <c r="I215" s="17"/>
      <c r="J215" s="17"/>
      <c r="K215" s="17" t="s">
        <v>65</v>
      </c>
      <c r="L215" s="17" t="n">
        <v>111</v>
      </c>
      <c r="M215" s="17" t="n">
        <v>28.4</v>
      </c>
      <c r="N215" s="17"/>
      <c r="O215" s="17"/>
    </row>
    <row r="216" customFormat="false" ht="15" hidden="false" customHeight="false" outlineLevel="0" collapsed="false">
      <c r="A216" s="17" t="s">
        <v>623</v>
      </c>
      <c r="B216" s="18" t="s">
        <v>91</v>
      </c>
      <c r="C216" s="18" t="s">
        <v>12</v>
      </c>
      <c r="D216" s="17" t="s">
        <v>624</v>
      </c>
      <c r="E216" s="24" t="s">
        <v>16</v>
      </c>
      <c r="F216" s="17"/>
      <c r="G216" s="17" t="s">
        <v>446</v>
      </c>
      <c r="H216" s="17"/>
      <c r="I216" s="17"/>
      <c r="J216" s="17"/>
      <c r="K216" s="17" t="s">
        <v>65</v>
      </c>
      <c r="L216" s="17" t="n">
        <v>119</v>
      </c>
      <c r="M216" s="17" t="n">
        <v>9.6</v>
      </c>
      <c r="N216" s="17"/>
      <c r="O216" s="17"/>
    </row>
    <row r="217" customFormat="false" ht="15" hidden="false" customHeight="false" outlineLevel="0" collapsed="false">
      <c r="A217" s="17" t="s">
        <v>625</v>
      </c>
      <c r="B217" s="18" t="s">
        <v>91</v>
      </c>
      <c r="C217" s="18" t="s">
        <v>12</v>
      </c>
      <c r="D217" s="17" t="s">
        <v>626</v>
      </c>
      <c r="E217" s="24" t="s">
        <v>16</v>
      </c>
      <c r="F217" s="17"/>
      <c r="G217" s="17" t="s">
        <v>446</v>
      </c>
      <c r="H217" s="17"/>
      <c r="I217" s="17"/>
      <c r="J217" s="17"/>
      <c r="K217" s="17" t="s">
        <v>65</v>
      </c>
      <c r="L217" s="17" t="n">
        <v>126</v>
      </c>
      <c r="M217" s="17" t="n">
        <v>9.2</v>
      </c>
      <c r="N217" s="17"/>
      <c r="O217" s="17"/>
    </row>
    <row r="218" customFormat="false" ht="15" hidden="false" customHeight="false" outlineLevel="0" collapsed="false">
      <c r="A218" s="17" t="s">
        <v>627</v>
      </c>
      <c r="B218" s="18" t="s">
        <v>91</v>
      </c>
      <c r="C218" s="18" t="s">
        <v>12</v>
      </c>
      <c r="D218" s="17" t="s">
        <v>628</v>
      </c>
      <c r="E218" s="24" t="s">
        <v>16</v>
      </c>
      <c r="F218" s="17"/>
      <c r="G218" s="17" t="s">
        <v>446</v>
      </c>
      <c r="H218" s="17"/>
      <c r="I218" s="17"/>
      <c r="J218" s="17"/>
      <c r="K218" s="17" t="s">
        <v>66</v>
      </c>
      <c r="L218" s="17" t="n">
        <v>20</v>
      </c>
      <c r="M218" s="17" t="n">
        <v>2.2</v>
      </c>
      <c r="N218" s="17"/>
      <c r="O218" s="17"/>
    </row>
    <row r="219" customFormat="false" ht="15" hidden="false" customHeight="false" outlineLevel="0" collapsed="false">
      <c r="A219" s="17" t="s">
        <v>629</v>
      </c>
      <c r="B219" s="18" t="s">
        <v>91</v>
      </c>
      <c r="C219" s="18" t="s">
        <v>12</v>
      </c>
      <c r="D219" s="17" t="s">
        <v>630</v>
      </c>
      <c r="E219" s="24" t="s">
        <v>16</v>
      </c>
      <c r="F219" s="17"/>
      <c r="G219" s="17" t="s">
        <v>446</v>
      </c>
      <c r="H219" s="17"/>
      <c r="I219" s="17"/>
      <c r="J219" s="17"/>
      <c r="K219" s="17" t="s">
        <v>66</v>
      </c>
      <c r="L219" s="17" t="n">
        <v>33</v>
      </c>
      <c r="M219" s="17" t="n">
        <v>13.2</v>
      </c>
      <c r="N219" s="17"/>
      <c r="O219" s="17"/>
    </row>
    <row r="220" customFormat="false" ht="15" hidden="false" customHeight="false" outlineLevel="0" collapsed="false">
      <c r="A220" s="17" t="s">
        <v>631</v>
      </c>
      <c r="B220" s="18" t="s">
        <v>91</v>
      </c>
      <c r="C220" s="18" t="s">
        <v>12</v>
      </c>
      <c r="D220" s="17" t="s">
        <v>632</v>
      </c>
      <c r="E220" s="24" t="s">
        <v>16</v>
      </c>
      <c r="F220" s="17"/>
      <c r="G220" s="17" t="s">
        <v>446</v>
      </c>
      <c r="H220" s="17"/>
      <c r="I220" s="17"/>
      <c r="J220" s="17"/>
      <c r="K220" s="17" t="s">
        <v>66</v>
      </c>
      <c r="L220" s="17" t="n">
        <v>51</v>
      </c>
      <c r="M220" s="17" t="n">
        <v>9.5</v>
      </c>
      <c r="N220" s="17"/>
      <c r="O220" s="17"/>
    </row>
    <row r="221" customFormat="false" ht="15" hidden="false" customHeight="false" outlineLevel="0" collapsed="false">
      <c r="A221" s="17" t="s">
        <v>633</v>
      </c>
      <c r="B221" s="18" t="s">
        <v>91</v>
      </c>
      <c r="C221" s="18" t="s">
        <v>12</v>
      </c>
      <c r="D221" s="17" t="s">
        <v>634</v>
      </c>
      <c r="E221" s="24" t="s">
        <v>16</v>
      </c>
      <c r="F221" s="17"/>
      <c r="G221" s="17" t="s">
        <v>446</v>
      </c>
      <c r="H221" s="17"/>
      <c r="I221" s="17"/>
      <c r="J221" s="17"/>
      <c r="K221" s="17" t="s">
        <v>66</v>
      </c>
      <c r="L221" s="17" t="n">
        <v>58</v>
      </c>
      <c r="M221" s="17" t="n">
        <v>6.8</v>
      </c>
      <c r="N221" s="17"/>
      <c r="O221" s="17"/>
    </row>
    <row r="222" customFormat="false" ht="15" hidden="false" customHeight="false" outlineLevel="0" collapsed="false">
      <c r="A222" s="17" t="s">
        <v>635</v>
      </c>
      <c r="B222" s="18" t="s">
        <v>91</v>
      </c>
      <c r="C222" s="18" t="s">
        <v>12</v>
      </c>
      <c r="D222" s="17" t="s">
        <v>636</v>
      </c>
      <c r="E222" s="24" t="s">
        <v>16</v>
      </c>
      <c r="F222" s="17"/>
      <c r="G222" s="17" t="s">
        <v>446</v>
      </c>
      <c r="H222" s="17"/>
      <c r="I222" s="17"/>
      <c r="J222" s="17"/>
      <c r="K222" s="17" t="s">
        <v>66</v>
      </c>
      <c r="L222" s="17" t="n">
        <v>63</v>
      </c>
      <c r="M222" s="17" t="n">
        <v>15.9</v>
      </c>
      <c r="N222" s="17"/>
      <c r="O222" s="17"/>
    </row>
    <row r="223" customFormat="false" ht="15" hidden="false" customHeight="false" outlineLevel="0" collapsed="false">
      <c r="A223" s="17" t="s">
        <v>637</v>
      </c>
      <c r="B223" s="18" t="s">
        <v>91</v>
      </c>
      <c r="C223" s="18" t="s">
        <v>12</v>
      </c>
      <c r="D223" s="17" t="s">
        <v>638</v>
      </c>
      <c r="E223" s="24" t="s">
        <v>16</v>
      </c>
      <c r="F223" s="17"/>
      <c r="G223" s="17" t="s">
        <v>446</v>
      </c>
      <c r="H223" s="17"/>
      <c r="I223" s="17"/>
      <c r="J223" s="17"/>
      <c r="K223" s="17" t="s">
        <v>66</v>
      </c>
      <c r="L223" s="17" t="n">
        <v>74</v>
      </c>
      <c r="M223" s="17" t="n">
        <v>13.1</v>
      </c>
      <c r="N223" s="17"/>
      <c r="O223" s="17"/>
    </row>
    <row r="224" customFormat="false" ht="15" hidden="false" customHeight="false" outlineLevel="0" collapsed="false">
      <c r="A224" s="17" t="s">
        <v>639</v>
      </c>
      <c r="B224" s="18" t="s">
        <v>91</v>
      </c>
      <c r="C224" s="18" t="s">
        <v>12</v>
      </c>
      <c r="D224" s="17" t="s">
        <v>640</v>
      </c>
      <c r="E224" s="24" t="s">
        <v>16</v>
      </c>
      <c r="F224" s="17"/>
      <c r="G224" s="17" t="s">
        <v>446</v>
      </c>
      <c r="H224" s="17"/>
      <c r="I224" s="17"/>
      <c r="J224" s="17"/>
      <c r="K224" s="17" t="s">
        <v>66</v>
      </c>
      <c r="L224" s="17" t="n">
        <v>94</v>
      </c>
      <c r="M224" s="17" t="n">
        <v>9.9</v>
      </c>
      <c r="N224" s="17"/>
      <c r="O224" s="17"/>
    </row>
    <row r="225" customFormat="false" ht="15" hidden="false" customHeight="false" outlineLevel="0" collapsed="false">
      <c r="A225" s="17" t="s">
        <v>641</v>
      </c>
      <c r="B225" s="18" t="s">
        <v>91</v>
      </c>
      <c r="C225" s="18" t="s">
        <v>12</v>
      </c>
      <c r="D225" s="17" t="s">
        <v>642</v>
      </c>
      <c r="E225" s="24" t="s">
        <v>16</v>
      </c>
      <c r="F225" s="17"/>
      <c r="G225" s="17" t="s">
        <v>446</v>
      </c>
      <c r="H225" s="17"/>
      <c r="I225" s="17"/>
      <c r="J225" s="17"/>
      <c r="K225" s="17" t="s">
        <v>66</v>
      </c>
      <c r="L225" s="17" t="n">
        <v>120</v>
      </c>
      <c r="M225" s="17" t="n">
        <v>9.5</v>
      </c>
      <c r="N225" s="17"/>
      <c r="O225" s="17"/>
    </row>
    <row r="226" customFormat="false" ht="15" hidden="false" customHeight="false" outlineLevel="0" collapsed="false">
      <c r="A226" s="17" t="s">
        <v>643</v>
      </c>
      <c r="B226" s="18" t="s">
        <v>91</v>
      </c>
      <c r="C226" s="18" t="s">
        <v>12</v>
      </c>
      <c r="D226" s="17" t="s">
        <v>644</v>
      </c>
      <c r="E226" s="24" t="s">
        <v>16</v>
      </c>
      <c r="F226" s="17"/>
      <c r="G226" s="17" t="s">
        <v>446</v>
      </c>
      <c r="H226" s="17"/>
      <c r="I226" s="17"/>
      <c r="J226" s="17"/>
      <c r="K226" s="17" t="s">
        <v>66</v>
      </c>
      <c r="L226" s="17" t="n">
        <v>128</v>
      </c>
      <c r="M226" s="17" t="n">
        <v>9.9</v>
      </c>
      <c r="N226" s="17"/>
      <c r="O226" s="17"/>
    </row>
    <row r="227" customFormat="false" ht="15" hidden="false" customHeight="false" outlineLevel="0" collapsed="false">
      <c r="A227" s="17" t="s">
        <v>645</v>
      </c>
      <c r="B227" s="18" t="s">
        <v>91</v>
      </c>
      <c r="C227" s="18" t="s">
        <v>12</v>
      </c>
      <c r="D227" s="17" t="s">
        <v>646</v>
      </c>
      <c r="E227" s="24" t="s">
        <v>16</v>
      </c>
      <c r="F227" s="17"/>
      <c r="G227" s="17" t="s">
        <v>446</v>
      </c>
      <c r="H227" s="17"/>
      <c r="I227" s="17"/>
      <c r="J227" s="17"/>
      <c r="K227" s="17" t="s">
        <v>66</v>
      </c>
      <c r="L227" s="17" t="n">
        <v>141</v>
      </c>
      <c r="M227" s="17" t="n">
        <v>16</v>
      </c>
      <c r="N227" s="17"/>
      <c r="O227" s="17"/>
    </row>
    <row r="228" customFormat="false" ht="15" hidden="false" customHeight="false" outlineLevel="0" collapsed="false">
      <c r="A228" s="17" t="s">
        <v>647</v>
      </c>
      <c r="B228" s="18" t="s">
        <v>91</v>
      </c>
      <c r="C228" s="18" t="s">
        <v>12</v>
      </c>
      <c r="D228" s="17" t="s">
        <v>648</v>
      </c>
      <c r="E228" s="24" t="s">
        <v>16</v>
      </c>
      <c r="F228" s="17"/>
      <c r="G228" s="17" t="s">
        <v>446</v>
      </c>
      <c r="H228" s="17"/>
      <c r="I228" s="17"/>
      <c r="J228" s="17"/>
      <c r="K228" s="17" t="s">
        <v>67</v>
      </c>
      <c r="L228" s="17" t="n">
        <v>142</v>
      </c>
      <c r="M228" s="17" t="n">
        <v>24</v>
      </c>
      <c r="N228" s="17"/>
      <c r="O228" s="17"/>
    </row>
    <row r="229" customFormat="false" ht="15" hidden="false" customHeight="false" outlineLevel="0" collapsed="false">
      <c r="A229" s="17" t="s">
        <v>649</v>
      </c>
      <c r="B229" s="18" t="s">
        <v>91</v>
      </c>
      <c r="C229" s="18" t="s">
        <v>12</v>
      </c>
      <c r="D229" s="17" t="s">
        <v>650</v>
      </c>
      <c r="E229" s="24" t="s">
        <v>16</v>
      </c>
      <c r="F229" s="17"/>
      <c r="G229" s="17" t="s">
        <v>446</v>
      </c>
      <c r="H229" s="17"/>
      <c r="I229" s="17"/>
      <c r="J229" s="17"/>
      <c r="K229" s="17" t="s">
        <v>67</v>
      </c>
      <c r="L229" s="17" t="n">
        <v>142</v>
      </c>
      <c r="M229" s="17" t="n">
        <v>21.1</v>
      </c>
      <c r="N229" s="17"/>
      <c r="O229" s="17"/>
    </row>
    <row r="230" customFormat="false" ht="15" hidden="false" customHeight="false" outlineLevel="0" collapsed="false">
      <c r="A230" s="17" t="s">
        <v>651</v>
      </c>
      <c r="B230" s="18" t="s">
        <v>91</v>
      </c>
      <c r="C230" s="18" t="s">
        <v>12</v>
      </c>
      <c r="D230" s="17" t="s">
        <v>652</v>
      </c>
      <c r="E230" s="24" t="s">
        <v>16</v>
      </c>
      <c r="F230" s="17"/>
      <c r="G230" s="17" t="s">
        <v>446</v>
      </c>
      <c r="H230" s="17"/>
      <c r="I230" s="17"/>
      <c r="J230" s="17"/>
      <c r="K230" s="17" t="s">
        <v>67</v>
      </c>
      <c r="L230" s="17" t="n">
        <v>142</v>
      </c>
      <c r="M230" s="17" t="n">
        <v>20.9</v>
      </c>
      <c r="N230" s="17"/>
      <c r="O230" s="17"/>
    </row>
    <row r="231" customFormat="false" ht="15" hidden="false" customHeight="false" outlineLevel="0" collapsed="false">
      <c r="A231" s="17" t="s">
        <v>653</v>
      </c>
      <c r="B231" s="18" t="s">
        <v>91</v>
      </c>
      <c r="C231" s="18" t="s">
        <v>12</v>
      </c>
      <c r="D231" s="17" t="s">
        <v>654</v>
      </c>
      <c r="E231" s="24" t="s">
        <v>16</v>
      </c>
      <c r="F231" s="17"/>
      <c r="G231" s="17" t="s">
        <v>446</v>
      </c>
      <c r="H231" s="17"/>
      <c r="I231" s="17"/>
      <c r="J231" s="17"/>
      <c r="K231" s="17" t="s">
        <v>67</v>
      </c>
      <c r="L231" s="17" t="n">
        <v>172</v>
      </c>
      <c r="M231" s="17" t="n">
        <v>14.2</v>
      </c>
      <c r="N231" s="17"/>
      <c r="O231" s="17"/>
    </row>
    <row r="232" customFormat="false" ht="15" hidden="false" customHeight="false" outlineLevel="0" collapsed="false">
      <c r="A232" s="17" t="s">
        <v>655</v>
      </c>
      <c r="B232" s="18" t="s">
        <v>91</v>
      </c>
      <c r="C232" s="18" t="s">
        <v>12</v>
      </c>
      <c r="D232" s="17" t="s">
        <v>656</v>
      </c>
      <c r="E232" s="24" t="s">
        <v>16</v>
      </c>
      <c r="F232" s="17"/>
      <c r="G232" s="17" t="s">
        <v>446</v>
      </c>
      <c r="H232" s="17"/>
      <c r="I232" s="17"/>
      <c r="J232" s="17"/>
      <c r="K232" s="17" t="s">
        <v>67</v>
      </c>
      <c r="L232" s="17" t="n">
        <v>172</v>
      </c>
      <c r="M232" s="17" t="n">
        <v>14.1</v>
      </c>
      <c r="N232" s="17"/>
      <c r="O232" s="17"/>
    </row>
    <row r="233" customFormat="false" ht="23.85" hidden="false" customHeight="false" outlineLevel="0" collapsed="false">
      <c r="A233" s="17" t="s">
        <v>657</v>
      </c>
      <c r="B233" s="18" t="s">
        <v>91</v>
      </c>
      <c r="C233" s="18" t="s">
        <v>12</v>
      </c>
      <c r="D233" s="17" t="s">
        <v>658</v>
      </c>
      <c r="E233" s="24" t="s">
        <v>16</v>
      </c>
      <c r="F233" s="17"/>
      <c r="G233" s="17" t="s">
        <v>446</v>
      </c>
      <c r="H233" s="17"/>
      <c r="I233" s="17"/>
      <c r="J233" s="17"/>
      <c r="K233" s="17" t="s">
        <v>67</v>
      </c>
      <c r="L233" s="17" t="n">
        <v>172</v>
      </c>
      <c r="M233" s="17" t="n">
        <v>16.2</v>
      </c>
      <c r="N233" s="17"/>
      <c r="O233" s="17"/>
    </row>
    <row r="234" customFormat="false" ht="15" hidden="false" customHeight="false" outlineLevel="0" collapsed="false">
      <c r="A234" s="17" t="s">
        <v>659</v>
      </c>
      <c r="B234" s="18" t="s">
        <v>91</v>
      </c>
      <c r="C234" s="18" t="s">
        <v>12</v>
      </c>
      <c r="D234" s="17" t="s">
        <v>660</v>
      </c>
      <c r="E234" s="24" t="s">
        <v>16</v>
      </c>
      <c r="F234" s="17"/>
      <c r="G234" s="17" t="s">
        <v>446</v>
      </c>
      <c r="H234" s="17"/>
      <c r="I234" s="17"/>
      <c r="J234" s="17"/>
      <c r="K234" s="17" t="s">
        <v>67</v>
      </c>
      <c r="L234" s="17" t="n">
        <v>187</v>
      </c>
      <c r="M234" s="17" t="n">
        <v>6.9</v>
      </c>
      <c r="N234" s="17"/>
      <c r="O234" s="17"/>
    </row>
    <row r="235" customFormat="false" ht="15" hidden="false" customHeight="false" outlineLevel="0" collapsed="false">
      <c r="A235" s="17" t="s">
        <v>661</v>
      </c>
      <c r="B235" s="18" t="s">
        <v>91</v>
      </c>
      <c r="C235" s="18" t="s">
        <v>12</v>
      </c>
      <c r="D235" s="17" t="s">
        <v>662</v>
      </c>
      <c r="E235" s="24" t="s">
        <v>16</v>
      </c>
      <c r="F235" s="17"/>
      <c r="G235" s="17" t="s">
        <v>446</v>
      </c>
      <c r="H235" s="17"/>
      <c r="I235" s="17"/>
      <c r="J235" s="17"/>
      <c r="K235" s="17" t="s">
        <v>67</v>
      </c>
      <c r="L235" s="17" t="n">
        <v>246</v>
      </c>
      <c r="M235" s="17" t="n">
        <v>13.9</v>
      </c>
      <c r="N235" s="17"/>
      <c r="O235" s="17"/>
    </row>
    <row r="236" customFormat="false" ht="15" hidden="false" customHeight="false" outlineLevel="0" collapsed="false">
      <c r="A236" s="17" t="s">
        <v>663</v>
      </c>
      <c r="B236" s="18" t="s">
        <v>91</v>
      </c>
      <c r="C236" s="18" t="s">
        <v>12</v>
      </c>
      <c r="D236" s="17" t="s">
        <v>664</v>
      </c>
      <c r="E236" s="24" t="s">
        <v>16</v>
      </c>
      <c r="F236" s="17"/>
      <c r="G236" s="17" t="s">
        <v>446</v>
      </c>
      <c r="H236" s="17"/>
      <c r="I236" s="17"/>
      <c r="J236" s="17"/>
      <c r="K236" s="17" t="s">
        <v>67</v>
      </c>
      <c r="L236" s="17" t="n">
        <v>264</v>
      </c>
      <c r="M236" s="17" t="n">
        <v>15.3</v>
      </c>
      <c r="N236" s="17"/>
      <c r="O236" s="17"/>
    </row>
    <row r="237" customFormat="false" ht="15" hidden="false" customHeight="false" outlineLevel="0" collapsed="false">
      <c r="A237" s="17" t="s">
        <v>665</v>
      </c>
      <c r="B237" s="18" t="s">
        <v>91</v>
      </c>
      <c r="C237" s="18" t="s">
        <v>12</v>
      </c>
      <c r="D237" s="17" t="s">
        <v>666</v>
      </c>
      <c r="E237" s="24" t="s">
        <v>16</v>
      </c>
      <c r="F237" s="17"/>
      <c r="G237" s="17" t="s">
        <v>446</v>
      </c>
      <c r="H237" s="17"/>
      <c r="I237" s="17"/>
      <c r="J237" s="17"/>
      <c r="K237" s="17" t="s">
        <v>67</v>
      </c>
      <c r="L237" s="17" t="n">
        <v>293</v>
      </c>
      <c r="M237" s="17" t="n">
        <v>19.4</v>
      </c>
      <c r="N237" s="17"/>
      <c r="O237" s="17"/>
    </row>
    <row r="238" customFormat="false" ht="15" hidden="false" customHeight="false" outlineLevel="0" collapsed="false">
      <c r="A238" s="17" t="s">
        <v>667</v>
      </c>
      <c r="B238" s="18" t="s">
        <v>91</v>
      </c>
      <c r="C238" s="18" t="s">
        <v>12</v>
      </c>
      <c r="D238" s="17" t="s">
        <v>668</v>
      </c>
      <c r="E238" s="24" t="s">
        <v>16</v>
      </c>
      <c r="F238" s="17"/>
      <c r="G238" s="17" t="s">
        <v>446</v>
      </c>
      <c r="H238" s="17"/>
      <c r="I238" s="17"/>
      <c r="J238" s="17"/>
      <c r="K238" s="17" t="s">
        <v>67</v>
      </c>
      <c r="L238" s="17" t="n">
        <v>293</v>
      </c>
      <c r="M238" s="17" t="n">
        <v>20.2</v>
      </c>
      <c r="N238" s="17"/>
      <c r="O238" s="17"/>
    </row>
    <row r="239" customFormat="false" ht="15" hidden="false" customHeight="false" outlineLevel="0" collapsed="false">
      <c r="A239" s="17" t="s">
        <v>669</v>
      </c>
      <c r="B239" s="18" t="s">
        <v>91</v>
      </c>
      <c r="C239" s="18" t="s">
        <v>12</v>
      </c>
      <c r="D239" s="17" t="s">
        <v>670</v>
      </c>
      <c r="E239" s="24" t="s">
        <v>16</v>
      </c>
      <c r="F239" s="17"/>
      <c r="G239" s="17" t="s">
        <v>446</v>
      </c>
      <c r="H239" s="17"/>
      <c r="I239" s="17"/>
      <c r="J239" s="17"/>
      <c r="K239" s="17" t="s">
        <v>67</v>
      </c>
      <c r="L239" s="17" t="n">
        <v>318</v>
      </c>
      <c r="M239" s="17" t="n">
        <v>6.8</v>
      </c>
      <c r="N239" s="17"/>
      <c r="O239" s="17"/>
    </row>
    <row r="240" customFormat="false" ht="15" hidden="false" customHeight="false" outlineLevel="0" collapsed="false">
      <c r="A240" s="17" t="s">
        <v>671</v>
      </c>
      <c r="B240" s="18" t="s">
        <v>91</v>
      </c>
      <c r="C240" s="18" t="s">
        <v>12</v>
      </c>
      <c r="D240" s="17" t="s">
        <v>672</v>
      </c>
      <c r="E240" s="24" t="s">
        <v>16</v>
      </c>
      <c r="F240" s="17"/>
      <c r="G240" s="17" t="s">
        <v>446</v>
      </c>
      <c r="H240" s="17"/>
      <c r="I240" s="17"/>
      <c r="J240" s="17"/>
      <c r="K240" s="17" t="s">
        <v>67</v>
      </c>
      <c r="L240" s="17" t="n">
        <v>326</v>
      </c>
      <c r="M240" s="17" t="n">
        <v>0.4</v>
      </c>
      <c r="N240" s="17"/>
      <c r="O240" s="17"/>
    </row>
    <row r="241" customFormat="false" ht="15" hidden="false" customHeight="false" outlineLevel="0" collapsed="false">
      <c r="A241" s="17" t="s">
        <v>673</v>
      </c>
      <c r="B241" s="18" t="s">
        <v>91</v>
      </c>
      <c r="C241" s="18" t="s">
        <v>12</v>
      </c>
      <c r="D241" s="17" t="s">
        <v>674</v>
      </c>
      <c r="E241" s="24" t="s">
        <v>16</v>
      </c>
      <c r="F241" s="17"/>
      <c r="G241" s="17" t="s">
        <v>446</v>
      </c>
      <c r="H241" s="17"/>
      <c r="I241" s="17"/>
      <c r="J241" s="17"/>
      <c r="K241" s="17" t="s">
        <v>68</v>
      </c>
      <c r="L241" s="17" t="n">
        <v>181</v>
      </c>
      <c r="M241" s="17" t="n">
        <v>9.4</v>
      </c>
      <c r="N241" s="17"/>
      <c r="O241" s="17"/>
    </row>
    <row r="242" customFormat="false" ht="15" hidden="false" customHeight="false" outlineLevel="0" collapsed="false">
      <c r="A242" s="17" t="s">
        <v>675</v>
      </c>
      <c r="B242" s="18" t="s">
        <v>91</v>
      </c>
      <c r="C242" s="18" t="s">
        <v>12</v>
      </c>
      <c r="D242" s="17" t="s">
        <v>676</v>
      </c>
      <c r="E242" s="24" t="s">
        <v>16</v>
      </c>
      <c r="F242" s="17"/>
      <c r="G242" s="17" t="s">
        <v>446</v>
      </c>
      <c r="H242" s="17"/>
      <c r="I242" s="17"/>
      <c r="J242" s="17"/>
      <c r="K242" s="17" t="s">
        <v>68</v>
      </c>
      <c r="L242" s="17" t="n">
        <v>196</v>
      </c>
      <c r="M242" s="17" t="n">
        <v>9.2</v>
      </c>
      <c r="N242" s="17"/>
      <c r="O242" s="17"/>
    </row>
    <row r="243" customFormat="false" ht="15" hidden="false" customHeight="false" outlineLevel="0" collapsed="false">
      <c r="A243" s="17" t="s">
        <v>677</v>
      </c>
      <c r="B243" s="18" t="s">
        <v>91</v>
      </c>
      <c r="C243" s="18" t="s">
        <v>12</v>
      </c>
      <c r="D243" s="17" t="s">
        <v>678</v>
      </c>
      <c r="E243" s="24" t="s">
        <v>16</v>
      </c>
      <c r="F243" s="17"/>
      <c r="G243" s="17" t="s">
        <v>446</v>
      </c>
      <c r="H243" s="17"/>
      <c r="I243" s="17"/>
      <c r="J243" s="17"/>
      <c r="K243" s="17" t="s">
        <v>68</v>
      </c>
      <c r="L243" s="17" t="n">
        <v>218</v>
      </c>
      <c r="M243" s="17" t="n">
        <v>11.2</v>
      </c>
      <c r="N243" s="17"/>
      <c r="O243" s="17"/>
    </row>
    <row r="244" customFormat="false" ht="15" hidden="false" customHeight="false" outlineLevel="0" collapsed="false">
      <c r="A244" s="17" t="s">
        <v>679</v>
      </c>
      <c r="B244" s="18" t="s">
        <v>91</v>
      </c>
      <c r="C244" s="18" t="s">
        <v>12</v>
      </c>
      <c r="D244" s="17" t="s">
        <v>680</v>
      </c>
      <c r="E244" s="24" t="s">
        <v>16</v>
      </c>
      <c r="F244" s="17"/>
      <c r="G244" s="17" t="s">
        <v>446</v>
      </c>
      <c r="H244" s="17"/>
      <c r="I244" s="17"/>
      <c r="J244" s="17"/>
      <c r="K244" s="17" t="s">
        <v>68</v>
      </c>
      <c r="L244" s="17" t="n">
        <v>251</v>
      </c>
      <c r="M244" s="17" t="n">
        <v>2.1</v>
      </c>
      <c r="N244" s="17"/>
      <c r="O244" s="17"/>
    </row>
    <row r="245" customFormat="false" ht="15" hidden="false" customHeight="false" outlineLevel="0" collapsed="false">
      <c r="A245" s="17" t="s">
        <v>681</v>
      </c>
      <c r="B245" s="18" t="s">
        <v>91</v>
      </c>
      <c r="C245" s="18" t="s">
        <v>12</v>
      </c>
      <c r="D245" s="17" t="s">
        <v>682</v>
      </c>
      <c r="E245" s="24" t="s">
        <v>16</v>
      </c>
      <c r="F245" s="17"/>
      <c r="G245" s="17" t="s">
        <v>446</v>
      </c>
      <c r="H245" s="17"/>
      <c r="I245" s="17"/>
      <c r="J245" s="17"/>
      <c r="K245" s="17" t="s">
        <v>68</v>
      </c>
      <c r="L245" s="17" t="n">
        <v>263</v>
      </c>
      <c r="M245" s="17" t="n">
        <v>2.2</v>
      </c>
      <c r="N245" s="17"/>
      <c r="O245" s="17"/>
    </row>
    <row r="246" customFormat="false" ht="15" hidden="false" customHeight="false" outlineLevel="0" collapsed="false">
      <c r="A246" s="17" t="s">
        <v>683</v>
      </c>
      <c r="B246" s="18" t="s">
        <v>91</v>
      </c>
      <c r="C246" s="18" t="s">
        <v>12</v>
      </c>
      <c r="D246" s="17" t="s">
        <v>684</v>
      </c>
      <c r="E246" s="24" t="s">
        <v>16</v>
      </c>
      <c r="F246" s="17"/>
      <c r="G246" s="17" t="s">
        <v>446</v>
      </c>
      <c r="H246" s="17"/>
      <c r="I246" s="17"/>
      <c r="J246" s="17"/>
      <c r="K246" s="17" t="s">
        <v>69</v>
      </c>
      <c r="L246" s="17" t="n">
        <v>156</v>
      </c>
      <c r="M246" s="17" t="n">
        <v>6.8</v>
      </c>
      <c r="N246" s="17"/>
      <c r="O246" s="17"/>
    </row>
    <row r="247" customFormat="false" ht="23.85" hidden="false" customHeight="false" outlineLevel="0" collapsed="false">
      <c r="A247" s="17" t="s">
        <v>685</v>
      </c>
      <c r="B247" s="18" t="s">
        <v>91</v>
      </c>
      <c r="C247" s="18" t="s">
        <v>12</v>
      </c>
      <c r="D247" s="17" t="s">
        <v>686</v>
      </c>
      <c r="E247" s="24" t="s">
        <v>16</v>
      </c>
      <c r="F247" s="17"/>
      <c r="G247" s="17" t="s">
        <v>446</v>
      </c>
      <c r="H247" s="17"/>
      <c r="I247" s="17"/>
      <c r="J247" s="17"/>
      <c r="K247" s="17" t="s">
        <v>69</v>
      </c>
      <c r="L247" s="17" t="n">
        <v>156</v>
      </c>
      <c r="M247" s="17" t="n">
        <v>6.9</v>
      </c>
      <c r="N247" s="17"/>
      <c r="O247" s="17"/>
    </row>
    <row r="248" customFormat="false" ht="15" hidden="false" customHeight="false" outlineLevel="0" collapsed="false">
      <c r="A248" s="17" t="s">
        <v>687</v>
      </c>
      <c r="B248" s="18" t="s">
        <v>91</v>
      </c>
      <c r="C248" s="18" t="s">
        <v>12</v>
      </c>
      <c r="D248" s="17" t="s">
        <v>688</v>
      </c>
      <c r="E248" s="24" t="s">
        <v>16</v>
      </c>
      <c r="F248" s="17"/>
      <c r="G248" s="17" t="s">
        <v>446</v>
      </c>
      <c r="H248" s="17"/>
      <c r="I248" s="17"/>
      <c r="J248" s="17"/>
      <c r="K248" s="17" t="s">
        <v>69</v>
      </c>
      <c r="L248" s="17" t="n">
        <v>184</v>
      </c>
      <c r="M248" s="17" t="n">
        <v>33.4</v>
      </c>
      <c r="N248" s="17"/>
      <c r="O248" s="17"/>
    </row>
    <row r="249" customFormat="false" ht="15" hidden="false" customHeight="false" outlineLevel="0" collapsed="false">
      <c r="A249" s="17" t="s">
        <v>689</v>
      </c>
      <c r="B249" s="18" t="s">
        <v>91</v>
      </c>
      <c r="C249" s="18" t="s">
        <v>12</v>
      </c>
      <c r="D249" s="17" t="s">
        <v>690</v>
      </c>
      <c r="E249" s="24" t="s">
        <v>16</v>
      </c>
      <c r="F249" s="17"/>
      <c r="G249" s="17" t="s">
        <v>446</v>
      </c>
      <c r="H249" s="17"/>
      <c r="I249" s="17"/>
      <c r="J249" s="17"/>
      <c r="K249" s="17" t="s">
        <v>69</v>
      </c>
      <c r="L249" s="17" t="n">
        <v>184</v>
      </c>
      <c r="M249" s="17" t="n">
        <v>34.7</v>
      </c>
      <c r="N249" s="17"/>
      <c r="O249" s="17"/>
    </row>
    <row r="250" customFormat="false" ht="15" hidden="false" customHeight="false" outlineLevel="0" collapsed="false">
      <c r="A250" s="17" t="s">
        <v>691</v>
      </c>
      <c r="B250" s="18" t="s">
        <v>91</v>
      </c>
      <c r="C250" s="18" t="s">
        <v>12</v>
      </c>
      <c r="D250" s="17" t="s">
        <v>692</v>
      </c>
      <c r="E250" s="24" t="s">
        <v>16</v>
      </c>
      <c r="F250" s="17"/>
      <c r="G250" s="17" t="s">
        <v>446</v>
      </c>
      <c r="H250" s="17"/>
      <c r="I250" s="17"/>
      <c r="J250" s="17"/>
      <c r="K250" s="17" t="s">
        <v>69</v>
      </c>
      <c r="L250" s="17" t="n">
        <v>184</v>
      </c>
      <c r="M250" s="17" t="n">
        <v>33</v>
      </c>
      <c r="N250" s="17"/>
      <c r="O250" s="17"/>
    </row>
    <row r="251" customFormat="false" ht="15" hidden="false" customHeight="false" outlineLevel="0" collapsed="false">
      <c r="A251" s="17" t="s">
        <v>693</v>
      </c>
      <c r="B251" s="18" t="s">
        <v>91</v>
      </c>
      <c r="C251" s="18" t="s">
        <v>12</v>
      </c>
      <c r="D251" s="17" t="s">
        <v>694</v>
      </c>
      <c r="E251" s="24" t="s">
        <v>16</v>
      </c>
      <c r="F251" s="17"/>
      <c r="G251" s="17" t="s">
        <v>446</v>
      </c>
      <c r="H251" s="17"/>
      <c r="I251" s="17"/>
      <c r="J251" s="17"/>
      <c r="K251" s="17" t="s">
        <v>69</v>
      </c>
      <c r="L251" s="17" t="n">
        <v>184</v>
      </c>
      <c r="M251" s="17" t="n">
        <v>32.6</v>
      </c>
      <c r="N251" s="17"/>
      <c r="O251" s="17"/>
    </row>
    <row r="252" customFormat="false" ht="15" hidden="false" customHeight="false" outlineLevel="0" collapsed="false">
      <c r="A252" s="17" t="s">
        <v>695</v>
      </c>
      <c r="B252" s="18" t="s">
        <v>91</v>
      </c>
      <c r="C252" s="18" t="s">
        <v>12</v>
      </c>
      <c r="D252" s="17" t="s">
        <v>696</v>
      </c>
      <c r="E252" s="24" t="s">
        <v>16</v>
      </c>
      <c r="F252" s="17"/>
      <c r="G252" s="17" t="s">
        <v>446</v>
      </c>
      <c r="H252" s="17"/>
      <c r="I252" s="17"/>
      <c r="J252" s="17"/>
      <c r="K252" s="17" t="s">
        <v>69</v>
      </c>
      <c r="L252" s="17" t="n">
        <v>184</v>
      </c>
      <c r="M252" s="17" t="n">
        <v>32.5</v>
      </c>
      <c r="N252" s="17"/>
      <c r="O252" s="17"/>
    </row>
    <row r="253" customFormat="false" ht="15" hidden="false" customHeight="false" outlineLevel="0" collapsed="false">
      <c r="A253" s="17" t="s">
        <v>697</v>
      </c>
      <c r="B253" s="18" t="s">
        <v>91</v>
      </c>
      <c r="C253" s="18" t="s">
        <v>12</v>
      </c>
      <c r="D253" s="17" t="s">
        <v>698</v>
      </c>
      <c r="E253" s="24" t="s">
        <v>16</v>
      </c>
      <c r="F253" s="17"/>
      <c r="G253" s="17" t="s">
        <v>446</v>
      </c>
      <c r="H253" s="17"/>
      <c r="I253" s="17"/>
      <c r="J253" s="17"/>
      <c r="K253" s="17" t="s">
        <v>69</v>
      </c>
      <c r="L253" s="17" t="n">
        <v>184</v>
      </c>
      <c r="M253" s="17" t="n">
        <v>34.2</v>
      </c>
      <c r="N253" s="17"/>
      <c r="O253" s="17"/>
    </row>
    <row r="254" customFormat="false" ht="15" hidden="false" customHeight="false" outlineLevel="0" collapsed="false">
      <c r="A254" s="17" t="s">
        <v>699</v>
      </c>
      <c r="B254" s="18" t="s">
        <v>91</v>
      </c>
      <c r="C254" s="18" t="s">
        <v>12</v>
      </c>
      <c r="D254" s="17" t="s">
        <v>700</v>
      </c>
      <c r="E254" s="24" t="s">
        <v>16</v>
      </c>
      <c r="F254" s="17"/>
      <c r="G254" s="17" t="s">
        <v>446</v>
      </c>
      <c r="H254" s="17"/>
      <c r="I254" s="17"/>
      <c r="J254" s="17"/>
      <c r="K254" s="17" t="s">
        <v>69</v>
      </c>
      <c r="L254" s="17" t="n">
        <v>225</v>
      </c>
      <c r="M254" s="17" t="n">
        <v>5.7</v>
      </c>
      <c r="N254" s="17"/>
      <c r="O254" s="17"/>
    </row>
    <row r="255" customFormat="false" ht="15" hidden="false" customHeight="false" outlineLevel="0" collapsed="false">
      <c r="A255" s="17" t="s">
        <v>701</v>
      </c>
      <c r="B255" s="18" t="s">
        <v>91</v>
      </c>
      <c r="C255" s="18" t="s">
        <v>12</v>
      </c>
      <c r="D255" s="17" t="s">
        <v>702</v>
      </c>
      <c r="E255" s="24" t="s">
        <v>16</v>
      </c>
      <c r="F255" s="17"/>
      <c r="G255" s="17" t="s">
        <v>446</v>
      </c>
      <c r="H255" s="17"/>
      <c r="I255" s="17"/>
      <c r="J255" s="17"/>
      <c r="K255" s="17" t="s">
        <v>69</v>
      </c>
      <c r="L255" s="17" t="n">
        <v>233</v>
      </c>
      <c r="M255" s="17" t="n">
        <v>8.9</v>
      </c>
      <c r="N255" s="17"/>
      <c r="O255" s="17"/>
    </row>
    <row r="256" customFormat="false" ht="15" hidden="false" customHeight="false" outlineLevel="0" collapsed="false">
      <c r="A256" s="17" t="s">
        <v>225</v>
      </c>
      <c r="B256" s="18" t="s">
        <v>91</v>
      </c>
      <c r="C256" s="18" t="s">
        <v>12</v>
      </c>
      <c r="D256" s="17" t="s">
        <v>703</v>
      </c>
      <c r="E256" s="24" t="s">
        <v>16</v>
      </c>
      <c r="F256" s="17"/>
      <c r="G256" s="17" t="s">
        <v>446</v>
      </c>
      <c r="H256" s="17"/>
      <c r="I256" s="17"/>
      <c r="J256" s="17"/>
      <c r="K256" s="17" t="s">
        <v>69</v>
      </c>
      <c r="L256" s="17" t="n">
        <v>268</v>
      </c>
      <c r="M256" s="17" t="n">
        <v>6.6</v>
      </c>
      <c r="N256" s="17"/>
      <c r="O256" s="17"/>
    </row>
    <row r="257" customFormat="false" ht="15" hidden="false" customHeight="false" outlineLevel="0" collapsed="false">
      <c r="A257" s="17" t="s">
        <v>704</v>
      </c>
      <c r="B257" s="18" t="s">
        <v>91</v>
      </c>
      <c r="C257" s="18" t="s">
        <v>12</v>
      </c>
      <c r="D257" s="17" t="s">
        <v>705</v>
      </c>
      <c r="E257" s="24" t="s">
        <v>16</v>
      </c>
      <c r="F257" s="17"/>
      <c r="G257" s="17" t="s">
        <v>446</v>
      </c>
      <c r="H257" s="17"/>
      <c r="I257" s="17"/>
      <c r="J257" s="17"/>
      <c r="K257" s="17" t="s">
        <v>69</v>
      </c>
      <c r="L257" s="17" t="n">
        <v>316</v>
      </c>
      <c r="M257" s="17" t="n">
        <v>6.1</v>
      </c>
      <c r="N257" s="17"/>
      <c r="O257" s="17"/>
    </row>
    <row r="258" customFormat="false" ht="15" hidden="false" customHeight="false" outlineLevel="0" collapsed="false">
      <c r="A258" s="17" t="s">
        <v>706</v>
      </c>
      <c r="B258" s="18" t="s">
        <v>91</v>
      </c>
      <c r="C258" s="18" t="s">
        <v>12</v>
      </c>
      <c r="D258" s="17" t="s">
        <v>707</v>
      </c>
      <c r="E258" s="24" t="s">
        <v>16</v>
      </c>
      <c r="F258" s="17"/>
      <c r="G258" s="17" t="s">
        <v>446</v>
      </c>
      <c r="H258" s="17"/>
      <c r="I258" s="17"/>
      <c r="J258" s="17"/>
      <c r="K258" s="17" t="s">
        <v>70</v>
      </c>
      <c r="L258" s="17" t="n">
        <v>105</v>
      </c>
      <c r="M258" s="17" t="n">
        <v>23.2</v>
      </c>
      <c r="N258" s="17"/>
      <c r="O258" s="17"/>
    </row>
    <row r="259" customFormat="false" ht="15" hidden="false" customHeight="false" outlineLevel="0" collapsed="false">
      <c r="A259" s="17" t="s">
        <v>708</v>
      </c>
      <c r="B259" s="18" t="s">
        <v>91</v>
      </c>
      <c r="C259" s="18" t="s">
        <v>12</v>
      </c>
      <c r="D259" s="17" t="s">
        <v>709</v>
      </c>
      <c r="E259" s="24" t="s">
        <v>16</v>
      </c>
      <c r="F259" s="17"/>
      <c r="G259" s="17" t="s">
        <v>446</v>
      </c>
      <c r="H259" s="17"/>
      <c r="I259" s="17"/>
      <c r="J259" s="17"/>
      <c r="K259" s="17" t="s">
        <v>70</v>
      </c>
      <c r="L259" s="17" t="n">
        <v>115</v>
      </c>
      <c r="M259" s="17" t="n">
        <v>7.3</v>
      </c>
      <c r="N259" s="17"/>
      <c r="O259" s="17"/>
    </row>
    <row r="260" customFormat="false" ht="15" hidden="false" customHeight="false" outlineLevel="0" collapsed="false">
      <c r="A260" s="17" t="s">
        <v>710</v>
      </c>
      <c r="B260" s="18" t="s">
        <v>91</v>
      </c>
      <c r="C260" s="18" t="s">
        <v>12</v>
      </c>
      <c r="D260" s="17" t="s">
        <v>711</v>
      </c>
      <c r="E260" s="24" t="s">
        <v>16</v>
      </c>
      <c r="F260" s="17"/>
      <c r="G260" s="17" t="s">
        <v>446</v>
      </c>
      <c r="H260" s="17"/>
      <c r="I260" s="17"/>
      <c r="J260" s="17"/>
      <c r="K260" s="17" t="s">
        <v>70</v>
      </c>
      <c r="L260" s="17" t="n">
        <v>129</v>
      </c>
      <c r="M260" s="17" t="n">
        <v>11.5</v>
      </c>
      <c r="N260" s="17"/>
      <c r="O260" s="17"/>
    </row>
    <row r="261" customFormat="false" ht="15" hidden="false" customHeight="false" outlineLevel="0" collapsed="false">
      <c r="A261" s="17" t="s">
        <v>712</v>
      </c>
      <c r="B261" s="18" t="s">
        <v>91</v>
      </c>
      <c r="C261" s="18" t="s">
        <v>12</v>
      </c>
      <c r="D261" s="17" t="s">
        <v>713</v>
      </c>
      <c r="E261" s="24" t="s">
        <v>16</v>
      </c>
      <c r="F261" s="17"/>
      <c r="G261" s="17" t="s">
        <v>446</v>
      </c>
      <c r="H261" s="17"/>
      <c r="I261" s="17"/>
      <c r="J261" s="17"/>
      <c r="K261" s="17" t="s">
        <v>70</v>
      </c>
      <c r="L261" s="17" t="n">
        <v>143</v>
      </c>
      <c r="M261" s="17" t="n">
        <v>14.5</v>
      </c>
      <c r="N261" s="17"/>
      <c r="O261" s="17"/>
    </row>
    <row r="262" customFormat="false" ht="15" hidden="false" customHeight="false" outlineLevel="0" collapsed="false">
      <c r="A262" s="17" t="s">
        <v>714</v>
      </c>
      <c r="B262" s="18" t="s">
        <v>91</v>
      </c>
      <c r="C262" s="18" t="s">
        <v>12</v>
      </c>
      <c r="D262" s="17" t="s">
        <v>715</v>
      </c>
      <c r="E262" s="24" t="s">
        <v>16</v>
      </c>
      <c r="F262" s="17"/>
      <c r="G262" s="17" t="s">
        <v>446</v>
      </c>
      <c r="H262" s="17"/>
      <c r="I262" s="17"/>
      <c r="J262" s="17"/>
      <c r="K262" s="17" t="s">
        <v>70</v>
      </c>
      <c r="L262" s="17" t="n">
        <v>188</v>
      </c>
      <c r="M262" s="17" t="n">
        <v>7.4</v>
      </c>
      <c r="N262" s="17"/>
      <c r="O262" s="17"/>
    </row>
    <row r="263" customFormat="false" ht="15" hidden="false" customHeight="false" outlineLevel="0" collapsed="false">
      <c r="A263" s="17" t="s">
        <v>716</v>
      </c>
      <c r="B263" s="18" t="s">
        <v>91</v>
      </c>
      <c r="C263" s="18" t="s">
        <v>12</v>
      </c>
      <c r="D263" s="17" t="s">
        <v>717</v>
      </c>
      <c r="E263" s="24" t="s">
        <v>16</v>
      </c>
      <c r="F263" s="17"/>
      <c r="G263" s="17" t="s">
        <v>446</v>
      </c>
      <c r="H263" s="17"/>
      <c r="I263" s="17"/>
      <c r="J263" s="17"/>
      <c r="K263" s="17" t="s">
        <v>70</v>
      </c>
      <c r="L263" s="17" t="n">
        <v>196</v>
      </c>
      <c r="M263" s="17" t="n">
        <v>7.3</v>
      </c>
      <c r="N263" s="17"/>
      <c r="O263" s="17"/>
    </row>
    <row r="264" customFormat="false" ht="15" hidden="false" customHeight="false" outlineLevel="0" collapsed="false">
      <c r="A264" s="17" t="s">
        <v>718</v>
      </c>
      <c r="B264" s="18" t="s">
        <v>91</v>
      </c>
      <c r="C264" s="18" t="s">
        <v>12</v>
      </c>
      <c r="D264" s="17" t="s">
        <v>719</v>
      </c>
      <c r="E264" s="24" t="s">
        <v>16</v>
      </c>
      <c r="F264" s="17"/>
      <c r="G264" s="17" t="s">
        <v>446</v>
      </c>
      <c r="H264" s="17"/>
      <c r="I264" s="17"/>
      <c r="J264" s="17"/>
      <c r="K264" s="17" t="s">
        <v>70</v>
      </c>
      <c r="L264" s="17" t="n">
        <v>207</v>
      </c>
      <c r="M264" s="17" t="n">
        <v>13.5</v>
      </c>
      <c r="N264" s="17"/>
      <c r="O264" s="17"/>
    </row>
    <row r="265" customFormat="false" ht="15" hidden="false" customHeight="false" outlineLevel="0" collapsed="false">
      <c r="A265" s="17" t="s">
        <v>470</v>
      </c>
      <c r="B265" s="18" t="s">
        <v>91</v>
      </c>
      <c r="C265" s="18" t="s">
        <v>12</v>
      </c>
      <c r="D265" s="17" t="s">
        <v>720</v>
      </c>
      <c r="E265" s="24" t="s">
        <v>16</v>
      </c>
      <c r="F265" s="17"/>
      <c r="G265" s="17" t="s">
        <v>446</v>
      </c>
      <c r="H265" s="17"/>
      <c r="I265" s="17"/>
      <c r="J265" s="17"/>
      <c r="K265" s="17" t="s">
        <v>71</v>
      </c>
      <c r="L265" s="17" t="n">
        <v>135</v>
      </c>
      <c r="M265" s="17" t="n">
        <v>18.8</v>
      </c>
      <c r="N265" s="17"/>
      <c r="O265" s="17"/>
    </row>
    <row r="266" customFormat="false" ht="15" hidden="false" customHeight="false" outlineLevel="0" collapsed="false">
      <c r="A266" s="17" t="s">
        <v>95</v>
      </c>
      <c r="B266" s="18" t="s">
        <v>91</v>
      </c>
      <c r="C266" s="18" t="s">
        <v>12</v>
      </c>
      <c r="D266" s="17" t="s">
        <v>721</v>
      </c>
      <c r="E266" s="24" t="s">
        <v>16</v>
      </c>
      <c r="F266" s="17"/>
      <c r="G266" s="17" t="s">
        <v>446</v>
      </c>
      <c r="H266" s="17"/>
      <c r="I266" s="17"/>
      <c r="J266" s="17"/>
      <c r="K266" s="17" t="s">
        <v>71</v>
      </c>
      <c r="L266" s="17" t="n">
        <v>135</v>
      </c>
      <c r="M266" s="17" t="n">
        <v>16.2</v>
      </c>
      <c r="N266" s="17"/>
      <c r="O266" s="17"/>
    </row>
    <row r="267" customFormat="false" ht="15" hidden="false" customHeight="false" outlineLevel="0" collapsed="false">
      <c r="A267" s="17" t="s">
        <v>150</v>
      </c>
      <c r="B267" s="18" t="s">
        <v>91</v>
      </c>
      <c r="C267" s="18" t="s">
        <v>12</v>
      </c>
      <c r="D267" s="17" t="s">
        <v>722</v>
      </c>
      <c r="E267" s="24" t="s">
        <v>16</v>
      </c>
      <c r="F267" s="17"/>
      <c r="G267" s="17" t="s">
        <v>446</v>
      </c>
      <c r="H267" s="17"/>
      <c r="I267" s="17"/>
      <c r="J267" s="17"/>
      <c r="K267" s="17" t="s">
        <v>71</v>
      </c>
      <c r="L267" s="17" t="n">
        <v>135</v>
      </c>
      <c r="M267" s="17" t="n">
        <v>18.7</v>
      </c>
      <c r="N267" s="17"/>
      <c r="O267" s="17"/>
    </row>
    <row r="268" customFormat="false" ht="15" hidden="false" customHeight="false" outlineLevel="0" collapsed="false">
      <c r="A268" s="17" t="s">
        <v>472</v>
      </c>
      <c r="B268" s="18" t="s">
        <v>91</v>
      </c>
      <c r="C268" s="18" t="s">
        <v>12</v>
      </c>
      <c r="D268" s="17" t="s">
        <v>723</v>
      </c>
      <c r="E268" s="24" t="s">
        <v>16</v>
      </c>
      <c r="F268" s="17"/>
      <c r="G268" s="17" t="s">
        <v>446</v>
      </c>
      <c r="H268" s="17"/>
      <c r="I268" s="17"/>
      <c r="J268" s="17"/>
      <c r="K268" s="17" t="s">
        <v>71</v>
      </c>
      <c r="L268" s="17" t="n">
        <v>135</v>
      </c>
      <c r="M268" s="17" t="n">
        <v>16.2</v>
      </c>
      <c r="N268" s="17"/>
      <c r="O268" s="17"/>
    </row>
    <row r="269" customFormat="false" ht="23.85" hidden="false" customHeight="false" outlineLevel="0" collapsed="false">
      <c r="A269" s="17" t="s">
        <v>154</v>
      </c>
      <c r="B269" s="18" t="s">
        <v>91</v>
      </c>
      <c r="C269" s="18" t="s">
        <v>12</v>
      </c>
      <c r="D269" s="17" t="s">
        <v>724</v>
      </c>
      <c r="E269" s="24" t="s">
        <v>16</v>
      </c>
      <c r="F269" s="17"/>
      <c r="G269" s="17" t="s">
        <v>446</v>
      </c>
      <c r="H269" s="17"/>
      <c r="I269" s="17"/>
      <c r="J269" s="17"/>
      <c r="K269" s="17" t="s">
        <v>71</v>
      </c>
      <c r="L269" s="17" t="n">
        <v>135</v>
      </c>
      <c r="M269" s="17" t="n">
        <v>18.8</v>
      </c>
      <c r="N269" s="17"/>
      <c r="O269" s="17"/>
    </row>
    <row r="270" customFormat="false" ht="23.85" hidden="false" customHeight="false" outlineLevel="0" collapsed="false">
      <c r="A270" s="17" t="s">
        <v>474</v>
      </c>
      <c r="B270" s="18" t="s">
        <v>91</v>
      </c>
      <c r="C270" s="18" t="s">
        <v>12</v>
      </c>
      <c r="D270" s="17" t="s">
        <v>725</v>
      </c>
      <c r="E270" s="24" t="s">
        <v>16</v>
      </c>
      <c r="F270" s="17"/>
      <c r="G270" s="17" t="s">
        <v>446</v>
      </c>
      <c r="H270" s="17"/>
      <c r="I270" s="17"/>
      <c r="J270" s="17"/>
      <c r="K270" s="17" t="s">
        <v>71</v>
      </c>
      <c r="L270" s="17" t="n">
        <v>135</v>
      </c>
      <c r="M270" s="17" t="n">
        <v>16.1</v>
      </c>
      <c r="N270" s="17"/>
      <c r="O270" s="17"/>
    </row>
    <row r="271" customFormat="false" ht="15" hidden="false" customHeight="false" outlineLevel="0" collapsed="false">
      <c r="A271" s="17" t="s">
        <v>476</v>
      </c>
      <c r="B271" s="18" t="s">
        <v>91</v>
      </c>
      <c r="C271" s="18" t="s">
        <v>12</v>
      </c>
      <c r="D271" s="17" t="s">
        <v>726</v>
      </c>
      <c r="E271" s="24" t="s">
        <v>16</v>
      </c>
      <c r="F271" s="17"/>
      <c r="G271" s="17" t="s">
        <v>446</v>
      </c>
      <c r="H271" s="17"/>
      <c r="I271" s="17"/>
      <c r="J271" s="17"/>
      <c r="K271" s="17" t="s">
        <v>71</v>
      </c>
      <c r="L271" s="17" t="n">
        <v>161</v>
      </c>
      <c r="M271" s="17" t="n">
        <v>9.5</v>
      </c>
      <c r="N271" s="17"/>
      <c r="O271" s="17"/>
    </row>
    <row r="272" customFormat="false" ht="15" hidden="false" customHeight="false" outlineLevel="0" collapsed="false">
      <c r="A272" s="17" t="s">
        <v>478</v>
      </c>
      <c r="B272" s="18" t="s">
        <v>91</v>
      </c>
      <c r="C272" s="18" t="s">
        <v>12</v>
      </c>
      <c r="D272" s="17" t="s">
        <v>727</v>
      </c>
      <c r="E272" s="24" t="s">
        <v>16</v>
      </c>
      <c r="F272" s="17"/>
      <c r="G272" s="17" t="s">
        <v>446</v>
      </c>
      <c r="H272" s="17"/>
      <c r="I272" s="17"/>
      <c r="J272" s="17"/>
      <c r="K272" s="17" t="s">
        <v>71</v>
      </c>
      <c r="L272" s="17" t="n">
        <v>161</v>
      </c>
      <c r="M272" s="17" t="n">
        <v>9.6</v>
      </c>
      <c r="N272" s="17"/>
      <c r="O272" s="17"/>
    </row>
    <row r="273" customFormat="false" ht="15" hidden="false" customHeight="false" outlineLevel="0" collapsed="false">
      <c r="A273" s="17" t="s">
        <v>480</v>
      </c>
      <c r="B273" s="18" t="s">
        <v>91</v>
      </c>
      <c r="C273" s="18" t="s">
        <v>12</v>
      </c>
      <c r="D273" s="17" t="s">
        <v>728</v>
      </c>
      <c r="E273" s="24" t="s">
        <v>16</v>
      </c>
      <c r="F273" s="17"/>
      <c r="G273" s="17" t="s">
        <v>446</v>
      </c>
      <c r="H273" s="17"/>
      <c r="I273" s="17"/>
      <c r="J273" s="17"/>
      <c r="K273" s="17" t="s">
        <v>71</v>
      </c>
      <c r="L273" s="17" t="n">
        <v>161</v>
      </c>
      <c r="M273" s="17" t="n">
        <v>9.4</v>
      </c>
      <c r="N273" s="17"/>
      <c r="O273" s="17"/>
    </row>
    <row r="274" customFormat="false" ht="15" hidden="false" customHeight="false" outlineLevel="0" collapsed="false">
      <c r="A274" s="17" t="s">
        <v>482</v>
      </c>
      <c r="B274" s="18" t="s">
        <v>91</v>
      </c>
      <c r="C274" s="18" t="s">
        <v>12</v>
      </c>
      <c r="D274" s="17" t="s">
        <v>729</v>
      </c>
      <c r="E274" s="24" t="s">
        <v>16</v>
      </c>
      <c r="F274" s="17"/>
      <c r="G274" s="17" t="s">
        <v>446</v>
      </c>
      <c r="H274" s="17"/>
      <c r="I274" s="17"/>
      <c r="J274" s="17"/>
      <c r="K274" s="17" t="s">
        <v>71</v>
      </c>
      <c r="L274" s="17" t="n">
        <v>161</v>
      </c>
      <c r="M274" s="17" t="n">
        <v>6.7</v>
      </c>
      <c r="N274" s="17"/>
      <c r="O274" s="17"/>
    </row>
    <row r="275" customFormat="false" ht="15" hidden="false" customHeight="false" outlineLevel="0" collapsed="false">
      <c r="A275" s="17" t="s">
        <v>484</v>
      </c>
      <c r="B275" s="18" t="s">
        <v>91</v>
      </c>
      <c r="C275" s="18" t="s">
        <v>12</v>
      </c>
      <c r="D275" s="17" t="s">
        <v>730</v>
      </c>
      <c r="E275" s="24" t="s">
        <v>16</v>
      </c>
      <c r="F275" s="17"/>
      <c r="G275" s="17" t="s">
        <v>446</v>
      </c>
      <c r="H275" s="17"/>
      <c r="I275" s="17"/>
      <c r="J275" s="17"/>
      <c r="K275" s="17" t="s">
        <v>71</v>
      </c>
      <c r="L275" s="17" t="n">
        <v>161</v>
      </c>
      <c r="M275" s="17" t="n">
        <v>9.4</v>
      </c>
      <c r="N275" s="17"/>
      <c r="O275" s="17"/>
    </row>
    <row r="276" customFormat="false" ht="15" hidden="false" customHeight="false" outlineLevel="0" collapsed="false">
      <c r="A276" s="17" t="s">
        <v>486</v>
      </c>
      <c r="B276" s="18" t="s">
        <v>91</v>
      </c>
      <c r="C276" s="18" t="s">
        <v>12</v>
      </c>
      <c r="D276" s="17" t="s">
        <v>731</v>
      </c>
      <c r="E276" s="24" t="s">
        <v>16</v>
      </c>
      <c r="F276" s="17"/>
      <c r="G276" s="17" t="s">
        <v>446</v>
      </c>
      <c r="H276" s="17"/>
      <c r="I276" s="17"/>
      <c r="J276" s="17"/>
      <c r="K276" s="17" t="s">
        <v>71</v>
      </c>
      <c r="L276" s="17" t="n">
        <v>161</v>
      </c>
      <c r="M276" s="17" t="n">
        <v>9.3</v>
      </c>
      <c r="N276" s="17"/>
      <c r="O276" s="17"/>
    </row>
    <row r="277" customFormat="false" ht="15" hidden="false" customHeight="false" outlineLevel="0" collapsed="false">
      <c r="A277" s="17" t="s">
        <v>157</v>
      </c>
      <c r="B277" s="18" t="s">
        <v>91</v>
      </c>
      <c r="C277" s="18" t="s">
        <v>12</v>
      </c>
      <c r="D277" s="17" t="s">
        <v>158</v>
      </c>
      <c r="E277" s="24" t="s">
        <v>16</v>
      </c>
      <c r="F277" s="17"/>
      <c r="G277" s="17" t="s">
        <v>446</v>
      </c>
      <c r="H277" s="17"/>
      <c r="I277" s="17"/>
      <c r="J277" s="17"/>
      <c r="K277" s="17" t="s">
        <v>71</v>
      </c>
      <c r="L277" s="17" t="n">
        <v>187</v>
      </c>
      <c r="M277" s="17" t="n">
        <v>9.4</v>
      </c>
      <c r="N277" s="17"/>
      <c r="O277" s="17"/>
    </row>
    <row r="278" customFormat="false" ht="15" hidden="false" customHeight="false" outlineLevel="0" collapsed="false">
      <c r="A278" s="17" t="s">
        <v>160</v>
      </c>
      <c r="B278" s="18" t="s">
        <v>91</v>
      </c>
      <c r="C278" s="18" t="s">
        <v>12</v>
      </c>
      <c r="D278" s="17" t="s">
        <v>732</v>
      </c>
      <c r="E278" s="24" t="s">
        <v>16</v>
      </c>
      <c r="F278" s="17"/>
      <c r="G278" s="17" t="s">
        <v>446</v>
      </c>
      <c r="H278" s="17"/>
      <c r="I278" s="17"/>
      <c r="J278" s="17"/>
      <c r="K278" s="17" t="s">
        <v>71</v>
      </c>
      <c r="L278" s="17" t="n">
        <v>187</v>
      </c>
      <c r="M278" s="17" t="n">
        <v>6.7</v>
      </c>
      <c r="N278" s="17"/>
      <c r="O278" s="17"/>
    </row>
    <row r="279" customFormat="false" ht="15" hidden="false" customHeight="false" outlineLevel="0" collapsed="false">
      <c r="A279" s="17" t="s">
        <v>492</v>
      </c>
      <c r="B279" s="18" t="s">
        <v>91</v>
      </c>
      <c r="C279" s="18" t="s">
        <v>12</v>
      </c>
      <c r="D279" s="17" t="s">
        <v>733</v>
      </c>
      <c r="E279" s="24" t="s">
        <v>16</v>
      </c>
      <c r="F279" s="17"/>
      <c r="G279" s="17" t="s">
        <v>446</v>
      </c>
      <c r="H279" s="17"/>
      <c r="I279" s="17"/>
      <c r="J279" s="17"/>
      <c r="K279" s="17" t="s">
        <v>71</v>
      </c>
      <c r="L279" s="17" t="n">
        <v>187</v>
      </c>
      <c r="M279" s="17" t="n">
        <v>9.5</v>
      </c>
      <c r="N279" s="17"/>
      <c r="O279" s="17"/>
    </row>
    <row r="280" customFormat="false" ht="15" hidden="false" customHeight="false" outlineLevel="0" collapsed="false">
      <c r="A280" s="17" t="s">
        <v>215</v>
      </c>
      <c r="B280" s="18" t="s">
        <v>91</v>
      </c>
      <c r="C280" s="18" t="s">
        <v>12</v>
      </c>
      <c r="D280" s="17" t="s">
        <v>734</v>
      </c>
      <c r="E280" s="24" t="s">
        <v>16</v>
      </c>
      <c r="F280" s="17"/>
      <c r="G280" s="17" t="s">
        <v>446</v>
      </c>
      <c r="H280" s="17"/>
      <c r="I280" s="17"/>
      <c r="J280" s="17"/>
      <c r="K280" s="17" t="s">
        <v>71</v>
      </c>
      <c r="L280" s="17" t="n">
        <v>218</v>
      </c>
      <c r="M280" s="17" t="n">
        <v>9.2</v>
      </c>
      <c r="N280" s="17"/>
      <c r="O280" s="17"/>
    </row>
    <row r="281" customFormat="false" ht="15" hidden="false" customHeight="false" outlineLevel="0" collapsed="false">
      <c r="A281" s="17" t="s">
        <v>735</v>
      </c>
      <c r="B281" s="18" t="s">
        <v>91</v>
      </c>
      <c r="C281" s="18" t="s">
        <v>12</v>
      </c>
      <c r="D281" s="17" t="s">
        <v>736</v>
      </c>
      <c r="E281" s="24" t="s">
        <v>16</v>
      </c>
      <c r="F281" s="17"/>
      <c r="G281" s="17" t="s">
        <v>446</v>
      </c>
      <c r="H281" s="17"/>
      <c r="I281" s="17"/>
      <c r="J281" s="17"/>
      <c r="K281" s="17" t="s">
        <v>71</v>
      </c>
      <c r="L281" s="17" t="n">
        <v>249</v>
      </c>
      <c r="M281" s="17" t="n">
        <v>13.3</v>
      </c>
      <c r="N281" s="17"/>
      <c r="O281" s="17"/>
    </row>
    <row r="282" customFormat="false" ht="15" hidden="false" customHeight="false" outlineLevel="0" collapsed="false">
      <c r="A282" s="17" t="s">
        <v>737</v>
      </c>
      <c r="B282" s="18" t="s">
        <v>91</v>
      </c>
      <c r="C282" s="18" t="s">
        <v>12</v>
      </c>
      <c r="D282" s="17" t="s">
        <v>738</v>
      </c>
      <c r="E282" s="24" t="s">
        <v>16</v>
      </c>
      <c r="F282" s="17"/>
      <c r="G282" s="17" t="s">
        <v>446</v>
      </c>
      <c r="H282" s="17"/>
      <c r="I282" s="17"/>
      <c r="J282" s="17"/>
      <c r="K282" s="17" t="s">
        <v>72</v>
      </c>
      <c r="L282" s="17" t="n">
        <v>95</v>
      </c>
      <c r="M282" s="17" t="n">
        <v>9.4</v>
      </c>
      <c r="N282" s="17"/>
      <c r="O282" s="17"/>
    </row>
    <row r="283" customFormat="false" ht="15" hidden="false" customHeight="false" outlineLevel="0" collapsed="false">
      <c r="A283" s="17" t="s">
        <v>739</v>
      </c>
      <c r="B283" s="18" t="s">
        <v>91</v>
      </c>
      <c r="C283" s="18" t="s">
        <v>12</v>
      </c>
      <c r="D283" s="17" t="s">
        <v>740</v>
      </c>
      <c r="E283" s="24" t="s">
        <v>16</v>
      </c>
      <c r="F283" s="17"/>
      <c r="G283" s="17" t="s">
        <v>446</v>
      </c>
      <c r="H283" s="17"/>
      <c r="I283" s="17"/>
      <c r="J283" s="17"/>
      <c r="K283" s="17" t="s">
        <v>72</v>
      </c>
      <c r="L283" s="17" t="n">
        <v>95</v>
      </c>
      <c r="M283" s="17" t="n">
        <v>9.3</v>
      </c>
      <c r="N283" s="17"/>
      <c r="O283" s="17"/>
    </row>
    <row r="284" customFormat="false" ht="15" hidden="false" customHeight="false" outlineLevel="0" collapsed="false">
      <c r="A284" s="17" t="s">
        <v>741</v>
      </c>
      <c r="B284" s="18" t="s">
        <v>91</v>
      </c>
      <c r="C284" s="18" t="s">
        <v>12</v>
      </c>
      <c r="D284" s="17" t="s">
        <v>742</v>
      </c>
      <c r="E284" s="24" t="s">
        <v>16</v>
      </c>
      <c r="F284" s="17"/>
      <c r="G284" s="17" t="s">
        <v>446</v>
      </c>
      <c r="H284" s="17"/>
      <c r="I284" s="17"/>
      <c r="J284" s="17"/>
      <c r="K284" s="17" t="s">
        <v>72</v>
      </c>
      <c r="L284" s="17" t="n">
        <v>95</v>
      </c>
      <c r="M284" s="17" t="n">
        <v>9.3</v>
      </c>
      <c r="N284" s="17"/>
      <c r="O284" s="17"/>
    </row>
    <row r="285" customFormat="false" ht="15" hidden="false" customHeight="false" outlineLevel="0" collapsed="false">
      <c r="A285" s="17" t="s">
        <v>743</v>
      </c>
      <c r="B285" s="18" t="s">
        <v>91</v>
      </c>
      <c r="C285" s="18" t="s">
        <v>12</v>
      </c>
      <c r="D285" s="17" t="s">
        <v>744</v>
      </c>
      <c r="E285" s="24" t="s">
        <v>16</v>
      </c>
      <c r="F285" s="17"/>
      <c r="G285" s="17" t="s">
        <v>446</v>
      </c>
      <c r="H285" s="17"/>
      <c r="I285" s="17"/>
      <c r="J285" s="17"/>
      <c r="K285" s="17" t="s">
        <v>72</v>
      </c>
      <c r="L285" s="17" t="n">
        <v>95</v>
      </c>
      <c r="M285" s="17" t="n">
        <v>6.6</v>
      </c>
      <c r="N285" s="17"/>
      <c r="O285" s="17"/>
    </row>
    <row r="286" customFormat="false" ht="15" hidden="false" customHeight="false" outlineLevel="0" collapsed="false">
      <c r="A286" s="17" t="s">
        <v>745</v>
      </c>
      <c r="B286" s="18" t="s">
        <v>91</v>
      </c>
      <c r="C286" s="18" t="s">
        <v>12</v>
      </c>
      <c r="D286" s="17" t="s">
        <v>746</v>
      </c>
      <c r="E286" s="24" t="s">
        <v>16</v>
      </c>
      <c r="F286" s="17"/>
      <c r="G286" s="17" t="s">
        <v>446</v>
      </c>
      <c r="H286" s="17"/>
      <c r="I286" s="17"/>
      <c r="J286" s="17"/>
      <c r="K286" s="17" t="s">
        <v>72</v>
      </c>
      <c r="L286" s="17" t="n">
        <v>111</v>
      </c>
      <c r="M286" s="17" t="n">
        <v>12.4</v>
      </c>
      <c r="N286" s="17"/>
      <c r="O286" s="17"/>
    </row>
    <row r="287" customFormat="false" ht="15" hidden="false" customHeight="false" outlineLevel="0" collapsed="false">
      <c r="A287" s="17" t="s">
        <v>747</v>
      </c>
      <c r="B287" s="18" t="s">
        <v>91</v>
      </c>
      <c r="C287" s="18" t="s">
        <v>12</v>
      </c>
      <c r="D287" s="17" t="s">
        <v>748</v>
      </c>
      <c r="E287" s="24" t="s">
        <v>16</v>
      </c>
      <c r="F287" s="17"/>
      <c r="G287" s="17" t="s">
        <v>446</v>
      </c>
      <c r="H287" s="17"/>
      <c r="I287" s="17"/>
      <c r="J287" s="17"/>
      <c r="K287" s="17" t="s">
        <v>72</v>
      </c>
      <c r="L287" s="17" t="n">
        <v>138</v>
      </c>
      <c r="M287" s="17" t="n">
        <v>13.2</v>
      </c>
      <c r="N287" s="17"/>
      <c r="O287" s="17"/>
    </row>
    <row r="288" customFormat="false" ht="15" hidden="false" customHeight="false" outlineLevel="0" collapsed="false">
      <c r="A288" s="17" t="s">
        <v>749</v>
      </c>
      <c r="B288" s="18" t="s">
        <v>91</v>
      </c>
      <c r="C288" s="18" t="s">
        <v>12</v>
      </c>
      <c r="D288" s="17" t="s">
        <v>750</v>
      </c>
      <c r="E288" s="24" t="s">
        <v>16</v>
      </c>
      <c r="F288" s="17"/>
      <c r="G288" s="17" t="s">
        <v>446</v>
      </c>
      <c r="H288" s="17"/>
      <c r="I288" s="17"/>
      <c r="J288" s="17"/>
      <c r="K288" s="17" t="s">
        <v>72</v>
      </c>
      <c r="L288" s="17" t="n">
        <v>138</v>
      </c>
      <c r="M288" s="17" t="n">
        <v>13.3</v>
      </c>
      <c r="N288" s="17"/>
      <c r="O288" s="17"/>
    </row>
    <row r="289" customFormat="false" ht="15" hidden="false" customHeight="false" outlineLevel="0" collapsed="false">
      <c r="A289" s="17" t="s">
        <v>751</v>
      </c>
      <c r="B289" s="18" t="s">
        <v>91</v>
      </c>
      <c r="C289" s="18" t="s">
        <v>12</v>
      </c>
      <c r="D289" s="17" t="s">
        <v>752</v>
      </c>
      <c r="E289" s="24" t="s">
        <v>16</v>
      </c>
      <c r="F289" s="17"/>
      <c r="G289" s="17" t="s">
        <v>446</v>
      </c>
      <c r="H289" s="17"/>
      <c r="I289" s="17"/>
      <c r="J289" s="17"/>
      <c r="K289" s="17" t="s">
        <v>72</v>
      </c>
      <c r="L289" s="17" t="n">
        <v>138</v>
      </c>
      <c r="M289" s="17" t="n">
        <v>13.6</v>
      </c>
      <c r="N289" s="17"/>
      <c r="O289" s="17"/>
    </row>
    <row r="290" customFormat="false" ht="15" hidden="false" customHeight="false" outlineLevel="0" collapsed="false">
      <c r="A290" s="17" t="s">
        <v>753</v>
      </c>
      <c r="B290" s="18" t="s">
        <v>91</v>
      </c>
      <c r="C290" s="18" t="s">
        <v>12</v>
      </c>
      <c r="D290" s="17" t="s">
        <v>754</v>
      </c>
      <c r="E290" s="24" t="s">
        <v>16</v>
      </c>
      <c r="F290" s="17"/>
      <c r="G290" s="17" t="s">
        <v>446</v>
      </c>
      <c r="H290" s="17"/>
      <c r="I290" s="17"/>
      <c r="J290" s="17"/>
      <c r="K290" s="17" t="s">
        <v>72</v>
      </c>
      <c r="L290" s="17" t="n">
        <v>157</v>
      </c>
      <c r="M290" s="17" t="n">
        <v>11.9</v>
      </c>
      <c r="N290" s="17"/>
      <c r="O290" s="17"/>
    </row>
    <row r="291" customFormat="false" ht="15" hidden="false" customHeight="false" outlineLevel="0" collapsed="false">
      <c r="A291" s="17" t="s">
        <v>755</v>
      </c>
      <c r="B291" s="18" t="s">
        <v>91</v>
      </c>
      <c r="C291" s="18" t="s">
        <v>12</v>
      </c>
      <c r="D291" s="17" t="s">
        <v>756</v>
      </c>
      <c r="E291" s="24" t="s">
        <v>16</v>
      </c>
      <c r="F291" s="17"/>
      <c r="G291" s="17" t="s">
        <v>446</v>
      </c>
      <c r="H291" s="17"/>
      <c r="I291" s="17"/>
      <c r="J291" s="17"/>
      <c r="K291" s="17" t="s">
        <v>72</v>
      </c>
      <c r="L291" s="17" t="n">
        <v>186</v>
      </c>
      <c r="M291" s="17" t="n">
        <v>8.6</v>
      </c>
      <c r="N291" s="17"/>
      <c r="O291" s="17"/>
    </row>
    <row r="292" customFormat="false" ht="15" hidden="false" customHeight="false" outlineLevel="0" collapsed="false">
      <c r="A292" s="17" t="s">
        <v>757</v>
      </c>
      <c r="B292" s="18" t="s">
        <v>91</v>
      </c>
      <c r="C292" s="18" t="s">
        <v>12</v>
      </c>
      <c r="D292" s="17" t="s">
        <v>758</v>
      </c>
      <c r="E292" s="24" t="s">
        <v>16</v>
      </c>
      <c r="F292" s="17"/>
      <c r="G292" s="17" t="s">
        <v>446</v>
      </c>
      <c r="H292" s="17"/>
      <c r="I292" s="17"/>
      <c r="J292" s="17"/>
      <c r="K292" s="17" t="s">
        <v>72</v>
      </c>
      <c r="L292" s="17" t="n">
        <v>186</v>
      </c>
      <c r="M292" s="17" t="n">
        <v>9.4</v>
      </c>
      <c r="N292" s="17"/>
      <c r="O292" s="17"/>
    </row>
    <row r="293" customFormat="false" ht="15" hidden="false" customHeight="false" outlineLevel="0" collapsed="false">
      <c r="A293" s="17" t="s">
        <v>759</v>
      </c>
      <c r="B293" s="18" t="s">
        <v>91</v>
      </c>
      <c r="C293" s="18" t="s">
        <v>12</v>
      </c>
      <c r="D293" s="17" t="s">
        <v>760</v>
      </c>
      <c r="E293" s="24" t="s">
        <v>16</v>
      </c>
      <c r="F293" s="17"/>
      <c r="G293" s="17" t="s">
        <v>446</v>
      </c>
      <c r="H293" s="17"/>
      <c r="I293" s="17"/>
      <c r="J293" s="17"/>
      <c r="K293" s="17" t="s">
        <v>72</v>
      </c>
      <c r="L293" s="17" t="n">
        <v>186</v>
      </c>
      <c r="M293" s="17" t="n">
        <v>9.4</v>
      </c>
      <c r="N293" s="17"/>
      <c r="O293" s="17"/>
    </row>
    <row r="294" customFormat="false" ht="15" hidden="false" customHeight="false" outlineLevel="0" collapsed="false">
      <c r="A294" s="17" t="s">
        <v>651</v>
      </c>
      <c r="B294" s="18" t="s">
        <v>91</v>
      </c>
      <c r="C294" s="18" t="s">
        <v>12</v>
      </c>
      <c r="D294" s="17" t="s">
        <v>761</v>
      </c>
      <c r="E294" s="24" t="s">
        <v>16</v>
      </c>
      <c r="F294" s="17"/>
      <c r="G294" s="17" t="s">
        <v>446</v>
      </c>
      <c r="H294" s="17"/>
      <c r="I294" s="17"/>
      <c r="J294" s="17"/>
      <c r="K294" s="17" t="s">
        <v>72</v>
      </c>
      <c r="L294" s="17" t="n">
        <v>186</v>
      </c>
      <c r="M294" s="17" t="n">
        <v>9.4</v>
      </c>
      <c r="N294" s="17"/>
      <c r="O294" s="17"/>
    </row>
    <row r="295" customFormat="false" ht="15" hidden="false" customHeight="false" outlineLevel="0" collapsed="false">
      <c r="A295" s="17" t="s">
        <v>762</v>
      </c>
      <c r="B295" s="18" t="s">
        <v>91</v>
      </c>
      <c r="C295" s="18" t="s">
        <v>12</v>
      </c>
      <c r="D295" s="17" t="s">
        <v>763</v>
      </c>
      <c r="E295" s="24" t="s">
        <v>16</v>
      </c>
      <c r="F295" s="17"/>
      <c r="G295" s="17" t="s">
        <v>446</v>
      </c>
      <c r="H295" s="17"/>
      <c r="I295" s="17"/>
      <c r="J295" s="17"/>
      <c r="K295" s="17" t="s">
        <v>72</v>
      </c>
      <c r="L295" s="17" t="n">
        <v>186</v>
      </c>
      <c r="M295" s="17" t="n">
        <v>7</v>
      </c>
      <c r="N295" s="17"/>
      <c r="O295" s="17"/>
    </row>
    <row r="296" customFormat="false" ht="15" hidden="false" customHeight="false" outlineLevel="0" collapsed="false">
      <c r="A296" s="17" t="s">
        <v>743</v>
      </c>
      <c r="B296" s="18" t="s">
        <v>91</v>
      </c>
      <c r="C296" s="18" t="s">
        <v>12</v>
      </c>
      <c r="D296" s="17" t="s">
        <v>764</v>
      </c>
      <c r="E296" s="24" t="s">
        <v>16</v>
      </c>
      <c r="F296" s="17"/>
      <c r="G296" s="17" t="s">
        <v>446</v>
      </c>
      <c r="H296" s="17"/>
      <c r="I296" s="17"/>
      <c r="J296" s="17"/>
      <c r="K296" s="17" t="s">
        <v>72</v>
      </c>
      <c r="L296" s="17" t="n">
        <v>218</v>
      </c>
      <c r="M296" s="17" t="n">
        <v>9.5</v>
      </c>
      <c r="N296" s="17"/>
      <c r="O296" s="17"/>
    </row>
    <row r="297" customFormat="false" ht="15" hidden="false" customHeight="false" outlineLevel="0" collapsed="false">
      <c r="A297" s="17" t="s">
        <v>765</v>
      </c>
      <c r="B297" s="18" t="s">
        <v>91</v>
      </c>
      <c r="C297" s="18" t="s">
        <v>12</v>
      </c>
      <c r="D297" s="17" t="s">
        <v>766</v>
      </c>
      <c r="E297" s="24" t="s">
        <v>16</v>
      </c>
      <c r="F297" s="17"/>
      <c r="G297" s="17" t="s">
        <v>446</v>
      </c>
      <c r="H297" s="17"/>
      <c r="I297" s="17"/>
      <c r="J297" s="17"/>
      <c r="K297" s="17" t="s">
        <v>72</v>
      </c>
      <c r="L297" s="17" t="n">
        <v>226</v>
      </c>
      <c r="M297" s="17" t="n">
        <v>9.4</v>
      </c>
      <c r="N297" s="17"/>
      <c r="O297" s="17"/>
    </row>
    <row r="298" customFormat="false" ht="15" hidden="false" customHeight="false" outlineLevel="0" collapsed="false">
      <c r="A298" s="17" t="s">
        <v>767</v>
      </c>
      <c r="B298" s="18" t="s">
        <v>91</v>
      </c>
      <c r="C298" s="18" t="s">
        <v>12</v>
      </c>
      <c r="D298" s="17" t="s">
        <v>768</v>
      </c>
      <c r="E298" s="24" t="s">
        <v>16</v>
      </c>
      <c r="F298" s="17"/>
      <c r="G298" s="17" t="s">
        <v>446</v>
      </c>
      <c r="H298" s="17"/>
      <c r="I298" s="17"/>
      <c r="J298" s="17"/>
      <c r="K298" s="17" t="s">
        <v>72</v>
      </c>
      <c r="L298" s="17" t="n">
        <v>256</v>
      </c>
      <c r="M298" s="17" t="n">
        <v>13</v>
      </c>
      <c r="N298" s="17"/>
      <c r="O298" s="17"/>
    </row>
    <row r="299" customFormat="false" ht="15" hidden="false" customHeight="false" outlineLevel="0" collapsed="false">
      <c r="A299" s="17" t="s">
        <v>104</v>
      </c>
      <c r="B299" s="18" t="s">
        <v>91</v>
      </c>
      <c r="C299" s="18" t="s">
        <v>12</v>
      </c>
      <c r="D299" s="17" t="s">
        <v>769</v>
      </c>
      <c r="E299" s="24" t="s">
        <v>16</v>
      </c>
      <c r="F299" s="17"/>
      <c r="G299" s="17" t="s">
        <v>446</v>
      </c>
      <c r="H299" s="17"/>
      <c r="I299" s="17"/>
      <c r="J299" s="17"/>
      <c r="K299" s="17" t="s">
        <v>73</v>
      </c>
      <c r="L299" s="17" t="n">
        <v>89</v>
      </c>
      <c r="M299" s="17" t="n">
        <v>19.1</v>
      </c>
      <c r="N299" s="17"/>
      <c r="O299" s="17"/>
    </row>
    <row r="300" customFormat="false" ht="15" hidden="false" customHeight="false" outlineLevel="0" collapsed="false">
      <c r="A300" s="17" t="s">
        <v>494</v>
      </c>
      <c r="B300" s="18" t="s">
        <v>91</v>
      </c>
      <c r="C300" s="18" t="s">
        <v>12</v>
      </c>
      <c r="D300" s="17" t="s">
        <v>770</v>
      </c>
      <c r="E300" s="24" t="s">
        <v>16</v>
      </c>
      <c r="F300" s="17"/>
      <c r="G300" s="17" t="s">
        <v>446</v>
      </c>
      <c r="H300" s="17"/>
      <c r="I300" s="17"/>
      <c r="J300" s="17"/>
      <c r="K300" s="17" t="s">
        <v>73</v>
      </c>
      <c r="L300" s="17" t="n">
        <v>89</v>
      </c>
      <c r="M300" s="17" t="n">
        <v>20.4</v>
      </c>
      <c r="N300" s="17"/>
      <c r="O300" s="17"/>
    </row>
    <row r="301" customFormat="false" ht="15" hidden="false" customHeight="false" outlineLevel="0" collapsed="false">
      <c r="A301" s="17" t="s">
        <v>496</v>
      </c>
      <c r="B301" s="18" t="s">
        <v>91</v>
      </c>
      <c r="C301" s="18" t="s">
        <v>12</v>
      </c>
      <c r="D301" s="17" t="s">
        <v>771</v>
      </c>
      <c r="E301" s="24" t="s">
        <v>16</v>
      </c>
      <c r="F301" s="17"/>
      <c r="G301" s="17" t="s">
        <v>446</v>
      </c>
      <c r="H301" s="17"/>
      <c r="I301" s="17"/>
      <c r="J301" s="17"/>
      <c r="K301" s="17" t="s">
        <v>73</v>
      </c>
      <c r="L301" s="17" t="n">
        <v>89</v>
      </c>
      <c r="M301" s="17" t="n">
        <v>19.6</v>
      </c>
      <c r="N301" s="17"/>
      <c r="O301" s="17"/>
    </row>
    <row r="302" customFormat="false" ht="15" hidden="false" customHeight="false" outlineLevel="0" collapsed="false">
      <c r="A302" s="17" t="s">
        <v>498</v>
      </c>
      <c r="B302" s="18" t="s">
        <v>91</v>
      </c>
      <c r="C302" s="18" t="s">
        <v>12</v>
      </c>
      <c r="D302" s="17" t="s">
        <v>772</v>
      </c>
      <c r="E302" s="24" t="s">
        <v>16</v>
      </c>
      <c r="F302" s="17"/>
      <c r="G302" s="17" t="s">
        <v>446</v>
      </c>
      <c r="H302" s="17"/>
      <c r="I302" s="17"/>
      <c r="J302" s="17"/>
      <c r="K302" s="17" t="s">
        <v>73</v>
      </c>
      <c r="L302" s="17" t="n">
        <v>89</v>
      </c>
      <c r="M302" s="17" t="n">
        <v>16.6</v>
      </c>
      <c r="N302" s="17"/>
      <c r="O302" s="17"/>
    </row>
    <row r="303" customFormat="false" ht="15" hidden="false" customHeight="false" outlineLevel="0" collapsed="false">
      <c r="A303" s="17" t="s">
        <v>500</v>
      </c>
      <c r="B303" s="18" t="s">
        <v>91</v>
      </c>
      <c r="C303" s="18" t="s">
        <v>12</v>
      </c>
      <c r="D303" s="17" t="s">
        <v>773</v>
      </c>
      <c r="E303" s="24" t="s">
        <v>16</v>
      </c>
      <c r="F303" s="17"/>
      <c r="G303" s="17" t="s">
        <v>446</v>
      </c>
      <c r="H303" s="17"/>
      <c r="I303" s="17"/>
      <c r="J303" s="17"/>
      <c r="K303" s="17" t="s">
        <v>73</v>
      </c>
      <c r="L303" s="17" t="n">
        <v>89</v>
      </c>
      <c r="M303" s="17" t="n">
        <v>19</v>
      </c>
      <c r="N303" s="17"/>
      <c r="O303" s="17"/>
    </row>
    <row r="304" customFormat="false" ht="15" hidden="false" customHeight="false" outlineLevel="0" collapsed="false">
      <c r="A304" s="17" t="s">
        <v>502</v>
      </c>
      <c r="B304" s="18" t="s">
        <v>91</v>
      </c>
      <c r="C304" s="18" t="s">
        <v>12</v>
      </c>
      <c r="D304" s="17" t="s">
        <v>774</v>
      </c>
      <c r="E304" s="24" t="s">
        <v>16</v>
      </c>
      <c r="F304" s="17"/>
      <c r="G304" s="17" t="s">
        <v>446</v>
      </c>
      <c r="H304" s="17"/>
      <c r="I304" s="17"/>
      <c r="J304" s="17"/>
      <c r="K304" s="17" t="s">
        <v>73</v>
      </c>
      <c r="L304" s="17" t="n">
        <v>89</v>
      </c>
      <c r="M304" s="17" t="n">
        <v>20.5</v>
      </c>
      <c r="N304" s="17"/>
      <c r="O304" s="17"/>
    </row>
    <row r="305" customFormat="false" ht="15" hidden="false" customHeight="false" outlineLevel="0" collapsed="false">
      <c r="A305" s="17" t="s">
        <v>504</v>
      </c>
      <c r="B305" s="18" t="s">
        <v>91</v>
      </c>
      <c r="C305" s="18" t="s">
        <v>12</v>
      </c>
      <c r="D305" s="17" t="s">
        <v>775</v>
      </c>
      <c r="E305" s="24" t="s">
        <v>16</v>
      </c>
      <c r="F305" s="17"/>
      <c r="G305" s="17" t="s">
        <v>446</v>
      </c>
      <c r="H305" s="17"/>
      <c r="I305" s="17"/>
      <c r="J305" s="17"/>
      <c r="K305" s="17" t="s">
        <v>73</v>
      </c>
      <c r="L305" s="17" t="n">
        <v>109</v>
      </c>
      <c r="M305" s="17" t="n">
        <v>9.3</v>
      </c>
      <c r="N305" s="17"/>
      <c r="O305" s="17"/>
    </row>
    <row r="306" customFormat="false" ht="15" hidden="false" customHeight="false" outlineLevel="0" collapsed="false">
      <c r="A306" s="17" t="s">
        <v>510</v>
      </c>
      <c r="B306" s="18" t="s">
        <v>91</v>
      </c>
      <c r="C306" s="18" t="s">
        <v>12</v>
      </c>
      <c r="D306" s="17" t="s">
        <v>776</v>
      </c>
      <c r="E306" s="24" t="s">
        <v>16</v>
      </c>
      <c r="F306" s="17"/>
      <c r="G306" s="17" t="s">
        <v>446</v>
      </c>
      <c r="H306" s="17"/>
      <c r="I306" s="17"/>
      <c r="J306" s="17"/>
      <c r="K306" s="17" t="s">
        <v>73</v>
      </c>
      <c r="L306" s="17" t="n">
        <v>135</v>
      </c>
      <c r="M306" s="17" t="n">
        <v>9.4</v>
      </c>
      <c r="N306" s="17"/>
      <c r="O306" s="17"/>
    </row>
    <row r="307" customFormat="false" ht="15" hidden="false" customHeight="false" outlineLevel="0" collapsed="false">
      <c r="A307" s="17" t="s">
        <v>512</v>
      </c>
      <c r="B307" s="18" t="s">
        <v>91</v>
      </c>
      <c r="C307" s="18" t="s">
        <v>12</v>
      </c>
      <c r="D307" s="17" t="s">
        <v>777</v>
      </c>
      <c r="E307" s="24" t="s">
        <v>16</v>
      </c>
      <c r="F307" s="17"/>
      <c r="G307" s="17" t="s">
        <v>446</v>
      </c>
      <c r="H307" s="17"/>
      <c r="I307" s="17"/>
      <c r="J307" s="17"/>
      <c r="K307" s="17" t="s">
        <v>73</v>
      </c>
      <c r="L307" s="17" t="n">
        <v>135</v>
      </c>
      <c r="M307" s="17" t="n">
        <v>7.3</v>
      </c>
      <c r="N307" s="17"/>
      <c r="O307" s="17"/>
    </row>
    <row r="308" customFormat="false" ht="15" hidden="false" customHeight="false" outlineLevel="0" collapsed="false">
      <c r="A308" s="17" t="s">
        <v>514</v>
      </c>
      <c r="B308" s="18" t="s">
        <v>91</v>
      </c>
      <c r="C308" s="18" t="s">
        <v>12</v>
      </c>
      <c r="D308" s="17" t="s">
        <v>778</v>
      </c>
      <c r="E308" s="24" t="s">
        <v>16</v>
      </c>
      <c r="F308" s="17"/>
      <c r="G308" s="17" t="s">
        <v>446</v>
      </c>
      <c r="H308" s="17"/>
      <c r="I308" s="17"/>
      <c r="J308" s="17"/>
      <c r="K308" s="17" t="s">
        <v>73</v>
      </c>
      <c r="L308" s="17" t="n">
        <v>135</v>
      </c>
      <c r="M308" s="17" t="n">
        <v>9.3</v>
      </c>
      <c r="N308" s="17"/>
      <c r="O308" s="17"/>
    </row>
    <row r="309" customFormat="false" ht="15" hidden="false" customHeight="false" outlineLevel="0" collapsed="false">
      <c r="A309" s="17" t="s">
        <v>520</v>
      </c>
      <c r="B309" s="18" t="s">
        <v>91</v>
      </c>
      <c r="C309" s="18" t="s">
        <v>12</v>
      </c>
      <c r="D309" s="17" t="s">
        <v>779</v>
      </c>
      <c r="E309" s="24" t="s">
        <v>16</v>
      </c>
      <c r="F309" s="17"/>
      <c r="G309" s="17" t="s">
        <v>446</v>
      </c>
      <c r="H309" s="17"/>
      <c r="I309" s="17"/>
      <c r="J309" s="17"/>
      <c r="K309" s="17" t="s">
        <v>73</v>
      </c>
      <c r="L309" s="17" t="n">
        <v>135</v>
      </c>
      <c r="M309" s="17" t="n">
        <v>9.4</v>
      </c>
      <c r="N309" s="17"/>
      <c r="O309" s="17"/>
    </row>
    <row r="310" customFormat="false" ht="15" hidden="false" customHeight="false" outlineLevel="0" collapsed="false">
      <c r="A310" s="17" t="s">
        <v>780</v>
      </c>
      <c r="B310" s="18" t="s">
        <v>91</v>
      </c>
      <c r="C310" s="18" t="s">
        <v>12</v>
      </c>
      <c r="D310" s="17" t="s">
        <v>781</v>
      </c>
      <c r="E310" s="24" t="s">
        <v>16</v>
      </c>
      <c r="F310" s="17"/>
      <c r="G310" s="17" t="s">
        <v>446</v>
      </c>
      <c r="H310" s="17"/>
      <c r="I310" s="17"/>
      <c r="J310" s="17"/>
      <c r="K310" s="17" t="s">
        <v>73</v>
      </c>
      <c r="L310" s="17" t="n">
        <v>184</v>
      </c>
      <c r="M310" s="17" t="n">
        <v>11</v>
      </c>
      <c r="N310" s="17"/>
      <c r="O310" s="17"/>
    </row>
    <row r="311" customFormat="false" ht="15" hidden="false" customHeight="false" outlineLevel="0" collapsed="false">
      <c r="A311" s="17" t="s">
        <v>782</v>
      </c>
      <c r="B311" s="18" t="s">
        <v>91</v>
      </c>
      <c r="C311" s="18" t="s">
        <v>12</v>
      </c>
      <c r="D311" s="17" t="s">
        <v>783</v>
      </c>
      <c r="E311" s="24" t="s">
        <v>16</v>
      </c>
      <c r="F311" s="17"/>
      <c r="G311" s="17" t="s">
        <v>446</v>
      </c>
      <c r="H311" s="17"/>
      <c r="I311" s="17"/>
      <c r="J311" s="17"/>
      <c r="K311" s="17" t="s">
        <v>73</v>
      </c>
      <c r="L311" s="17" t="n">
        <v>209</v>
      </c>
      <c r="M311" s="17" t="n">
        <v>2.2</v>
      </c>
      <c r="N311" s="17"/>
      <c r="O311" s="17"/>
    </row>
    <row r="312" customFormat="false" ht="15" hidden="false" customHeight="false" outlineLevel="0" collapsed="false">
      <c r="A312" s="17" t="s">
        <v>784</v>
      </c>
      <c r="B312" s="18" t="s">
        <v>91</v>
      </c>
      <c r="C312" s="18" t="s">
        <v>12</v>
      </c>
      <c r="D312" s="17" t="s">
        <v>785</v>
      </c>
      <c r="E312" s="24" t="s">
        <v>16</v>
      </c>
      <c r="F312" s="17"/>
      <c r="G312" s="17" t="s">
        <v>446</v>
      </c>
      <c r="H312" s="17"/>
      <c r="I312" s="17"/>
      <c r="J312" s="17"/>
      <c r="K312" s="17" t="s">
        <v>73</v>
      </c>
      <c r="L312" s="17" t="n">
        <v>209</v>
      </c>
      <c r="M312" s="17" t="n">
        <v>2.2</v>
      </c>
      <c r="N312" s="17"/>
      <c r="O312" s="17"/>
    </row>
    <row r="313" customFormat="false" ht="15" hidden="false" customHeight="false" outlineLevel="0" collapsed="false">
      <c r="A313" s="17" t="s">
        <v>786</v>
      </c>
      <c r="B313" s="18" t="s">
        <v>91</v>
      </c>
      <c r="C313" s="18" t="s">
        <v>12</v>
      </c>
      <c r="D313" s="17" t="s">
        <v>787</v>
      </c>
      <c r="E313" s="24" t="s">
        <v>16</v>
      </c>
      <c r="F313" s="17"/>
      <c r="G313" s="17" t="s">
        <v>446</v>
      </c>
      <c r="H313" s="17"/>
      <c r="I313" s="17"/>
      <c r="J313" s="17"/>
      <c r="K313" s="17" t="s">
        <v>73</v>
      </c>
      <c r="L313" s="17" t="n">
        <v>278</v>
      </c>
      <c r="M313" s="17" t="n">
        <v>12.8</v>
      </c>
      <c r="N313" s="17"/>
      <c r="O313" s="17"/>
    </row>
    <row r="314" customFormat="false" ht="15" hidden="false" customHeight="false" outlineLevel="0" collapsed="false">
      <c r="A314" s="17" t="s">
        <v>788</v>
      </c>
      <c r="B314" s="18" t="s">
        <v>91</v>
      </c>
      <c r="C314" s="18" t="s">
        <v>12</v>
      </c>
      <c r="D314" s="17" t="s">
        <v>789</v>
      </c>
      <c r="E314" s="24" t="s">
        <v>16</v>
      </c>
      <c r="F314" s="17"/>
      <c r="G314" s="17" t="s">
        <v>446</v>
      </c>
      <c r="H314" s="17"/>
      <c r="I314" s="17"/>
      <c r="J314" s="17"/>
      <c r="K314" s="17" t="s">
        <v>74</v>
      </c>
      <c r="L314" s="17" t="n">
        <v>72</v>
      </c>
      <c r="M314" s="17" t="n">
        <v>15.7</v>
      </c>
      <c r="N314" s="17"/>
      <c r="O314" s="17"/>
    </row>
    <row r="315" customFormat="false" ht="15" hidden="false" customHeight="false" outlineLevel="0" collapsed="false">
      <c r="A315" s="17" t="s">
        <v>790</v>
      </c>
      <c r="B315" s="18" t="s">
        <v>91</v>
      </c>
      <c r="C315" s="18" t="s">
        <v>12</v>
      </c>
      <c r="D315" s="17" t="s">
        <v>791</v>
      </c>
      <c r="E315" s="24" t="s">
        <v>16</v>
      </c>
      <c r="F315" s="17"/>
      <c r="G315" s="17" t="s">
        <v>446</v>
      </c>
      <c r="H315" s="17"/>
      <c r="I315" s="17"/>
      <c r="J315" s="17"/>
      <c r="K315" s="17" t="s">
        <v>74</v>
      </c>
      <c r="L315" s="17" t="n">
        <v>72</v>
      </c>
      <c r="M315" s="17" t="n">
        <v>16.9</v>
      </c>
      <c r="N315" s="17"/>
      <c r="O315" s="17"/>
    </row>
    <row r="316" customFormat="false" ht="15" hidden="false" customHeight="false" outlineLevel="0" collapsed="false">
      <c r="A316" s="17" t="s">
        <v>792</v>
      </c>
      <c r="B316" s="18" t="s">
        <v>91</v>
      </c>
      <c r="C316" s="18" t="s">
        <v>12</v>
      </c>
      <c r="D316" s="17" t="s">
        <v>793</v>
      </c>
      <c r="E316" s="24" t="s">
        <v>16</v>
      </c>
      <c r="F316" s="17"/>
      <c r="G316" s="17" t="s">
        <v>446</v>
      </c>
      <c r="H316" s="17"/>
      <c r="I316" s="17"/>
      <c r="J316" s="17"/>
      <c r="K316" s="17" t="s">
        <v>74</v>
      </c>
      <c r="L316" s="17" t="n">
        <v>111</v>
      </c>
      <c r="M316" s="17" t="n">
        <v>11.5</v>
      </c>
      <c r="N316" s="17"/>
      <c r="O316" s="17"/>
    </row>
    <row r="317" customFormat="false" ht="15" hidden="false" customHeight="false" outlineLevel="0" collapsed="false">
      <c r="A317" s="17" t="s">
        <v>794</v>
      </c>
      <c r="B317" s="18" t="s">
        <v>91</v>
      </c>
      <c r="C317" s="18" t="s">
        <v>12</v>
      </c>
      <c r="D317" s="17" t="s">
        <v>795</v>
      </c>
      <c r="E317" s="24" t="s">
        <v>16</v>
      </c>
      <c r="F317" s="17"/>
      <c r="G317" s="17" t="s">
        <v>446</v>
      </c>
      <c r="H317" s="17"/>
      <c r="I317" s="17"/>
      <c r="J317" s="17"/>
      <c r="K317" s="17" t="s">
        <v>74</v>
      </c>
      <c r="L317" s="17" t="n">
        <v>111</v>
      </c>
      <c r="M317" s="17" t="n">
        <v>13.5</v>
      </c>
      <c r="N317" s="17"/>
      <c r="O317" s="17"/>
    </row>
    <row r="318" customFormat="false" ht="15" hidden="false" customHeight="false" outlineLevel="0" collapsed="false">
      <c r="A318" s="17" t="s">
        <v>796</v>
      </c>
      <c r="B318" s="18" t="s">
        <v>91</v>
      </c>
      <c r="C318" s="18" t="s">
        <v>12</v>
      </c>
      <c r="D318" s="17" t="s">
        <v>797</v>
      </c>
      <c r="E318" s="24" t="s">
        <v>16</v>
      </c>
      <c r="F318" s="17"/>
      <c r="G318" s="17" t="s">
        <v>446</v>
      </c>
      <c r="H318" s="17"/>
      <c r="I318" s="17"/>
      <c r="J318" s="17"/>
      <c r="K318" s="17" t="s">
        <v>74</v>
      </c>
      <c r="L318" s="17" t="n">
        <v>111</v>
      </c>
      <c r="M318" s="17" t="n">
        <v>12.7</v>
      </c>
      <c r="N318" s="17"/>
      <c r="O318" s="17"/>
    </row>
    <row r="319" customFormat="false" ht="15" hidden="false" customHeight="false" outlineLevel="0" collapsed="false">
      <c r="A319" s="17" t="s">
        <v>798</v>
      </c>
      <c r="B319" s="18" t="s">
        <v>91</v>
      </c>
      <c r="C319" s="18" t="s">
        <v>12</v>
      </c>
      <c r="D319" s="17" t="s">
        <v>799</v>
      </c>
      <c r="E319" s="24" t="s">
        <v>16</v>
      </c>
      <c r="F319" s="17"/>
      <c r="G319" s="17" t="s">
        <v>446</v>
      </c>
      <c r="H319" s="17"/>
      <c r="I319" s="17"/>
      <c r="J319" s="17"/>
      <c r="K319" s="17" t="s">
        <v>74</v>
      </c>
      <c r="L319" s="17" t="n">
        <v>111</v>
      </c>
      <c r="M319" s="17" t="n">
        <v>15.6</v>
      </c>
      <c r="N319" s="17"/>
      <c r="O319" s="17"/>
    </row>
    <row r="320" customFormat="false" ht="15" hidden="false" customHeight="false" outlineLevel="0" collapsed="false">
      <c r="A320" s="17" t="s">
        <v>800</v>
      </c>
      <c r="B320" s="18" t="s">
        <v>91</v>
      </c>
      <c r="C320" s="18" t="s">
        <v>12</v>
      </c>
      <c r="D320" s="17" t="s">
        <v>801</v>
      </c>
      <c r="E320" s="24" t="s">
        <v>16</v>
      </c>
      <c r="F320" s="17"/>
      <c r="G320" s="17" t="s">
        <v>446</v>
      </c>
      <c r="H320" s="17"/>
      <c r="I320" s="17"/>
      <c r="J320" s="17"/>
      <c r="K320" s="17" t="s">
        <v>74</v>
      </c>
      <c r="L320" s="17" t="n">
        <v>125</v>
      </c>
      <c r="M320" s="17" t="n">
        <v>8.9</v>
      </c>
      <c r="N320" s="17"/>
      <c r="O320" s="17"/>
    </row>
    <row r="321" customFormat="false" ht="15" hidden="false" customHeight="false" outlineLevel="0" collapsed="false">
      <c r="A321" s="17" t="s">
        <v>802</v>
      </c>
      <c r="B321" s="18" t="s">
        <v>91</v>
      </c>
      <c r="C321" s="18" t="s">
        <v>12</v>
      </c>
      <c r="D321" s="17" t="s">
        <v>803</v>
      </c>
      <c r="E321" s="24" t="s">
        <v>16</v>
      </c>
      <c r="F321" s="17"/>
      <c r="G321" s="17" t="s">
        <v>446</v>
      </c>
      <c r="H321" s="17"/>
      <c r="I321" s="17"/>
      <c r="J321" s="17"/>
      <c r="K321" s="17" t="s">
        <v>74</v>
      </c>
      <c r="L321" s="17" t="n">
        <v>134</v>
      </c>
      <c r="M321" s="17" t="n">
        <v>8.9</v>
      </c>
      <c r="N321" s="17"/>
      <c r="O321" s="17"/>
    </row>
    <row r="322" customFormat="false" ht="15" hidden="false" customHeight="false" outlineLevel="0" collapsed="false">
      <c r="A322" s="17" t="s">
        <v>518</v>
      </c>
      <c r="B322" s="18" t="s">
        <v>91</v>
      </c>
      <c r="C322" s="18" t="s">
        <v>12</v>
      </c>
      <c r="D322" s="17" t="s">
        <v>804</v>
      </c>
      <c r="E322" s="24" t="s">
        <v>16</v>
      </c>
      <c r="F322" s="17"/>
      <c r="G322" s="17" t="s">
        <v>446</v>
      </c>
      <c r="H322" s="17"/>
      <c r="I322" s="17"/>
      <c r="J322" s="17"/>
      <c r="K322" s="17" t="s">
        <v>74</v>
      </c>
      <c r="L322" s="17" t="n">
        <v>146</v>
      </c>
      <c r="M322" s="17" t="n">
        <v>9</v>
      </c>
      <c r="N322" s="17"/>
      <c r="O322" s="17"/>
    </row>
    <row r="323" customFormat="false" ht="15" hidden="false" customHeight="false" outlineLevel="0" collapsed="false">
      <c r="A323" s="17" t="s">
        <v>805</v>
      </c>
      <c r="B323" s="18" t="s">
        <v>91</v>
      </c>
      <c r="C323" s="18" t="s">
        <v>12</v>
      </c>
      <c r="D323" s="17" t="s">
        <v>806</v>
      </c>
      <c r="E323" s="24" t="s">
        <v>16</v>
      </c>
      <c r="F323" s="17"/>
      <c r="G323" s="17" t="s">
        <v>446</v>
      </c>
      <c r="H323" s="17"/>
      <c r="I323" s="17"/>
      <c r="J323" s="17"/>
      <c r="K323" s="17" t="s">
        <v>74</v>
      </c>
      <c r="L323" s="17" t="n">
        <v>157</v>
      </c>
      <c r="M323" s="17" t="n">
        <v>1.3</v>
      </c>
      <c r="N323" s="17"/>
      <c r="O323" s="17"/>
    </row>
    <row r="324" customFormat="false" ht="15" hidden="false" customHeight="false" outlineLevel="0" collapsed="false">
      <c r="A324" s="17" t="s">
        <v>807</v>
      </c>
      <c r="B324" s="18" t="s">
        <v>91</v>
      </c>
      <c r="C324" s="18" t="s">
        <v>12</v>
      </c>
      <c r="D324" s="17" t="s">
        <v>808</v>
      </c>
      <c r="E324" s="24" t="s">
        <v>16</v>
      </c>
      <c r="F324" s="17"/>
      <c r="G324" s="17" t="s">
        <v>446</v>
      </c>
      <c r="H324" s="17"/>
      <c r="I324" s="17"/>
      <c r="J324" s="17"/>
      <c r="K324" s="17" t="s">
        <v>74</v>
      </c>
      <c r="L324" s="17" t="n">
        <v>173</v>
      </c>
      <c r="M324" s="17" t="n">
        <v>8</v>
      </c>
      <c r="N324" s="17"/>
      <c r="O324" s="17"/>
    </row>
    <row r="325" customFormat="false" ht="15" hidden="false" customHeight="false" outlineLevel="0" collapsed="false">
      <c r="A325" s="17" t="s">
        <v>809</v>
      </c>
      <c r="B325" s="18" t="s">
        <v>91</v>
      </c>
      <c r="C325" s="18" t="s">
        <v>12</v>
      </c>
      <c r="D325" s="17" t="s">
        <v>810</v>
      </c>
      <c r="E325" s="24" t="s">
        <v>16</v>
      </c>
      <c r="F325" s="17"/>
      <c r="G325" s="17" t="s">
        <v>446</v>
      </c>
      <c r="H325" s="17"/>
      <c r="I325" s="17"/>
      <c r="J325" s="17"/>
      <c r="K325" s="17" t="s">
        <v>75</v>
      </c>
      <c r="L325" s="17" t="n">
        <v>65</v>
      </c>
      <c r="M325" s="17" t="n">
        <v>9.1</v>
      </c>
      <c r="N325" s="17"/>
      <c r="O325" s="17"/>
    </row>
    <row r="326" customFormat="false" ht="15" hidden="false" customHeight="false" outlineLevel="0" collapsed="false">
      <c r="A326" s="17" t="s">
        <v>811</v>
      </c>
      <c r="B326" s="18" t="s">
        <v>91</v>
      </c>
      <c r="C326" s="18" t="s">
        <v>12</v>
      </c>
      <c r="D326" s="17" t="s">
        <v>812</v>
      </c>
      <c r="E326" s="24" t="s">
        <v>16</v>
      </c>
      <c r="F326" s="17"/>
      <c r="G326" s="17" t="s">
        <v>446</v>
      </c>
      <c r="H326" s="17"/>
      <c r="I326" s="17"/>
      <c r="J326" s="17"/>
      <c r="K326" s="17" t="s">
        <v>75</v>
      </c>
      <c r="L326" s="17" t="n">
        <v>65</v>
      </c>
      <c r="M326" s="17" t="n">
        <v>9.2</v>
      </c>
      <c r="N326" s="17"/>
      <c r="O326" s="17"/>
    </row>
    <row r="327" customFormat="false" ht="15" hidden="false" customHeight="false" outlineLevel="0" collapsed="false">
      <c r="A327" s="17" t="s">
        <v>813</v>
      </c>
      <c r="B327" s="18" t="s">
        <v>91</v>
      </c>
      <c r="C327" s="18" t="s">
        <v>12</v>
      </c>
      <c r="D327" s="17" t="s">
        <v>814</v>
      </c>
      <c r="E327" s="24" t="s">
        <v>16</v>
      </c>
      <c r="F327" s="17"/>
      <c r="G327" s="17" t="s">
        <v>446</v>
      </c>
      <c r="H327" s="17"/>
      <c r="I327" s="17"/>
      <c r="J327" s="17"/>
      <c r="K327" s="17" t="s">
        <v>75</v>
      </c>
      <c r="L327" s="17" t="n">
        <v>65</v>
      </c>
      <c r="M327" s="17" t="n">
        <v>9.2</v>
      </c>
      <c r="N327" s="17"/>
      <c r="O327" s="17"/>
    </row>
    <row r="328" customFormat="false" ht="15" hidden="false" customHeight="false" outlineLevel="0" collapsed="false">
      <c r="A328" s="17" t="s">
        <v>815</v>
      </c>
      <c r="B328" s="18" t="s">
        <v>91</v>
      </c>
      <c r="C328" s="18" t="s">
        <v>12</v>
      </c>
      <c r="D328" s="17" t="s">
        <v>816</v>
      </c>
      <c r="E328" s="24" t="s">
        <v>16</v>
      </c>
      <c r="F328" s="17"/>
      <c r="G328" s="17" t="s">
        <v>446</v>
      </c>
      <c r="H328" s="17"/>
      <c r="I328" s="17"/>
      <c r="J328" s="17"/>
      <c r="K328" s="17" t="s">
        <v>75</v>
      </c>
      <c r="L328" s="17" t="n">
        <v>65</v>
      </c>
      <c r="M328" s="17" t="n">
        <v>7</v>
      </c>
      <c r="N328" s="17"/>
      <c r="O328" s="17"/>
    </row>
    <row r="329" customFormat="false" ht="15" hidden="false" customHeight="false" outlineLevel="0" collapsed="false">
      <c r="A329" s="17" t="s">
        <v>817</v>
      </c>
      <c r="B329" s="18" t="s">
        <v>91</v>
      </c>
      <c r="C329" s="18" t="s">
        <v>12</v>
      </c>
      <c r="D329" s="17" t="s">
        <v>818</v>
      </c>
      <c r="E329" s="24" t="s">
        <v>16</v>
      </c>
      <c r="F329" s="17"/>
      <c r="G329" s="17" t="s">
        <v>446</v>
      </c>
      <c r="H329" s="17"/>
      <c r="I329" s="17"/>
      <c r="J329" s="17"/>
      <c r="K329" s="17" t="s">
        <v>75</v>
      </c>
      <c r="L329" s="17" t="n">
        <v>65</v>
      </c>
      <c r="M329" s="17" t="n">
        <v>9.1</v>
      </c>
      <c r="N329" s="17"/>
      <c r="O329" s="17"/>
    </row>
    <row r="330" customFormat="false" ht="15" hidden="false" customHeight="false" outlineLevel="0" collapsed="false">
      <c r="A330" s="17" t="s">
        <v>819</v>
      </c>
      <c r="B330" s="18" t="s">
        <v>91</v>
      </c>
      <c r="C330" s="18" t="s">
        <v>12</v>
      </c>
      <c r="D330" s="17" t="s">
        <v>820</v>
      </c>
      <c r="E330" s="24" t="s">
        <v>16</v>
      </c>
      <c r="F330" s="17"/>
      <c r="G330" s="17" t="s">
        <v>446</v>
      </c>
      <c r="H330" s="17"/>
      <c r="I330" s="17"/>
      <c r="J330" s="17"/>
      <c r="K330" s="17" t="s">
        <v>75</v>
      </c>
      <c r="L330" s="17" t="n">
        <v>65</v>
      </c>
      <c r="M330" s="17" t="n">
        <v>9.2</v>
      </c>
      <c r="N330" s="17"/>
      <c r="O330" s="17"/>
    </row>
    <row r="331" customFormat="false" ht="15" hidden="false" customHeight="false" outlineLevel="0" collapsed="false">
      <c r="A331" s="17" t="s">
        <v>821</v>
      </c>
      <c r="B331" s="18" t="s">
        <v>91</v>
      </c>
      <c r="C331" s="18" t="s">
        <v>12</v>
      </c>
      <c r="D331" s="17" t="s">
        <v>822</v>
      </c>
      <c r="E331" s="24" t="s">
        <v>16</v>
      </c>
      <c r="F331" s="17"/>
      <c r="G331" s="17" t="s">
        <v>446</v>
      </c>
      <c r="H331" s="17"/>
      <c r="I331" s="17"/>
      <c r="J331" s="17"/>
      <c r="K331" s="17" t="s">
        <v>75</v>
      </c>
      <c r="L331" s="17" t="n">
        <v>84</v>
      </c>
      <c r="M331" s="17" t="n">
        <v>6.9</v>
      </c>
      <c r="N331" s="17"/>
      <c r="O331" s="17"/>
    </row>
    <row r="332" customFormat="false" ht="15" hidden="false" customHeight="false" outlineLevel="0" collapsed="false">
      <c r="A332" s="17" t="s">
        <v>823</v>
      </c>
      <c r="B332" s="18" t="s">
        <v>91</v>
      </c>
      <c r="C332" s="18" t="s">
        <v>12</v>
      </c>
      <c r="D332" s="17" t="s">
        <v>824</v>
      </c>
      <c r="E332" s="24" t="s">
        <v>16</v>
      </c>
      <c r="F332" s="17"/>
      <c r="G332" s="17" t="s">
        <v>446</v>
      </c>
      <c r="H332" s="17"/>
      <c r="I332" s="17"/>
      <c r="J332" s="17"/>
      <c r="K332" s="17" t="s">
        <v>75</v>
      </c>
      <c r="L332" s="17" t="n">
        <v>97</v>
      </c>
      <c r="M332" s="17" t="n">
        <v>9.2</v>
      </c>
      <c r="N332" s="17"/>
      <c r="O332" s="17"/>
    </row>
    <row r="333" customFormat="false" ht="15" hidden="false" customHeight="false" outlineLevel="0" collapsed="false">
      <c r="A333" s="17" t="s">
        <v>825</v>
      </c>
      <c r="B333" s="18" t="s">
        <v>91</v>
      </c>
      <c r="C333" s="18" t="s">
        <v>12</v>
      </c>
      <c r="D333" s="17" t="s">
        <v>826</v>
      </c>
      <c r="E333" s="24" t="s">
        <v>16</v>
      </c>
      <c r="F333" s="17"/>
      <c r="G333" s="17" t="s">
        <v>446</v>
      </c>
      <c r="H333" s="17"/>
      <c r="I333" s="17"/>
      <c r="J333" s="17"/>
      <c r="K333" s="17" t="s">
        <v>75</v>
      </c>
      <c r="L333" s="17" t="n">
        <v>111</v>
      </c>
      <c r="M333" s="17" t="n">
        <v>6.8</v>
      </c>
      <c r="N333" s="17"/>
      <c r="O333" s="17"/>
    </row>
    <row r="334" customFormat="false" ht="15" hidden="false" customHeight="false" outlineLevel="0" collapsed="false">
      <c r="A334" s="17" t="s">
        <v>827</v>
      </c>
      <c r="B334" s="18" t="s">
        <v>91</v>
      </c>
      <c r="C334" s="18" t="s">
        <v>12</v>
      </c>
      <c r="D334" s="17" t="s">
        <v>828</v>
      </c>
      <c r="E334" s="24" t="s">
        <v>16</v>
      </c>
      <c r="F334" s="17"/>
      <c r="G334" s="17" t="s">
        <v>446</v>
      </c>
      <c r="H334" s="17"/>
      <c r="I334" s="17"/>
      <c r="J334" s="17"/>
      <c r="K334" s="17" t="s">
        <v>75</v>
      </c>
      <c r="L334" s="17" t="n">
        <v>121</v>
      </c>
      <c r="M334" s="17" t="n">
        <v>7</v>
      </c>
      <c r="N334" s="17"/>
      <c r="O334" s="17"/>
    </row>
    <row r="335" customFormat="false" ht="15" hidden="false" customHeight="false" outlineLevel="0" collapsed="false">
      <c r="A335" s="17" t="s">
        <v>829</v>
      </c>
      <c r="B335" s="18" t="s">
        <v>91</v>
      </c>
      <c r="C335" s="18" t="s">
        <v>12</v>
      </c>
      <c r="D335" s="17" t="s">
        <v>830</v>
      </c>
      <c r="E335" s="24" t="s">
        <v>16</v>
      </c>
      <c r="F335" s="17"/>
      <c r="G335" s="17" t="s">
        <v>446</v>
      </c>
      <c r="H335" s="17"/>
      <c r="I335" s="17"/>
      <c r="J335" s="17"/>
      <c r="K335" s="17" t="s">
        <v>75</v>
      </c>
      <c r="L335" s="17" t="n">
        <v>135</v>
      </c>
      <c r="M335" s="17" t="n">
        <v>7</v>
      </c>
      <c r="N335" s="17"/>
      <c r="O335" s="17"/>
    </row>
    <row r="336" customFormat="false" ht="15" hidden="false" customHeight="false" outlineLevel="0" collapsed="false">
      <c r="A336" s="17" t="s">
        <v>831</v>
      </c>
      <c r="B336" s="18" t="s">
        <v>91</v>
      </c>
      <c r="C336" s="18" t="s">
        <v>12</v>
      </c>
      <c r="D336" s="17" t="s">
        <v>832</v>
      </c>
      <c r="E336" s="24" t="s">
        <v>16</v>
      </c>
      <c r="F336" s="17"/>
      <c r="G336" s="17" t="s">
        <v>446</v>
      </c>
      <c r="H336" s="17"/>
      <c r="I336" s="17"/>
      <c r="J336" s="17"/>
      <c r="K336" s="17" t="s">
        <v>75</v>
      </c>
      <c r="L336" s="17" t="n">
        <v>145</v>
      </c>
      <c r="M336" s="17" t="n">
        <v>9.2</v>
      </c>
      <c r="N336" s="17"/>
      <c r="O336" s="17"/>
    </row>
    <row r="337" customFormat="false" ht="15" hidden="false" customHeight="false" outlineLevel="0" collapsed="false">
      <c r="A337" s="17" t="s">
        <v>833</v>
      </c>
      <c r="B337" s="18" t="s">
        <v>91</v>
      </c>
      <c r="C337" s="18" t="s">
        <v>12</v>
      </c>
      <c r="D337" s="17" t="s">
        <v>834</v>
      </c>
      <c r="E337" s="24" t="s">
        <v>16</v>
      </c>
      <c r="F337" s="17"/>
      <c r="G337" s="17" t="s">
        <v>446</v>
      </c>
      <c r="H337" s="17"/>
      <c r="I337" s="17"/>
      <c r="J337" s="17"/>
      <c r="K337" s="17" t="s">
        <v>75</v>
      </c>
      <c r="L337" s="17" t="n">
        <v>166</v>
      </c>
      <c r="M337" s="17" t="n">
        <v>4.5</v>
      </c>
      <c r="N337" s="17"/>
      <c r="O337" s="17"/>
    </row>
    <row r="338" customFormat="false" ht="15" hidden="false" customHeight="false" outlineLevel="0" collapsed="false">
      <c r="A338" s="17" t="s">
        <v>835</v>
      </c>
      <c r="B338" s="18" t="s">
        <v>91</v>
      </c>
      <c r="C338" s="18" t="s">
        <v>12</v>
      </c>
      <c r="D338" s="17" t="s">
        <v>836</v>
      </c>
      <c r="E338" s="24" t="s">
        <v>16</v>
      </c>
      <c r="F338" s="17"/>
      <c r="G338" s="17" t="s">
        <v>446</v>
      </c>
      <c r="H338" s="17"/>
      <c r="I338" s="17"/>
      <c r="J338" s="17"/>
      <c r="K338" s="17" t="s">
        <v>75</v>
      </c>
      <c r="L338" s="17" t="n">
        <v>166</v>
      </c>
      <c r="M338" s="17" t="n">
        <v>6.8</v>
      </c>
      <c r="N338" s="17"/>
      <c r="O338" s="17"/>
    </row>
    <row r="339" customFormat="false" ht="15" hidden="false" customHeight="false" outlineLevel="0" collapsed="false">
      <c r="A339" s="17" t="s">
        <v>837</v>
      </c>
      <c r="B339" s="18" t="s">
        <v>91</v>
      </c>
      <c r="C339" s="18" t="s">
        <v>12</v>
      </c>
      <c r="D339" s="17" t="s">
        <v>838</v>
      </c>
      <c r="E339" s="24" t="s">
        <v>16</v>
      </c>
      <c r="F339" s="17"/>
      <c r="G339" s="17" t="s">
        <v>446</v>
      </c>
      <c r="H339" s="17"/>
      <c r="I339" s="17"/>
      <c r="J339" s="17"/>
      <c r="K339" s="17" t="s">
        <v>75</v>
      </c>
      <c r="L339" s="17" t="n">
        <v>179</v>
      </c>
      <c r="M339" s="17" t="n">
        <v>14.1</v>
      </c>
      <c r="N339" s="17"/>
      <c r="O339" s="17"/>
    </row>
    <row r="340" customFormat="false" ht="15" hidden="false" customHeight="false" outlineLevel="0" collapsed="false">
      <c r="A340" s="17" t="s">
        <v>839</v>
      </c>
      <c r="B340" s="18" t="s">
        <v>91</v>
      </c>
      <c r="C340" s="18" t="s">
        <v>12</v>
      </c>
      <c r="D340" s="17" t="s">
        <v>840</v>
      </c>
      <c r="E340" s="24" t="s">
        <v>16</v>
      </c>
      <c r="F340" s="17"/>
      <c r="G340" s="17" t="s">
        <v>446</v>
      </c>
      <c r="H340" s="17"/>
      <c r="I340" s="17"/>
      <c r="J340" s="17"/>
      <c r="K340" s="17" t="s">
        <v>75</v>
      </c>
      <c r="L340" s="17" t="n">
        <v>196</v>
      </c>
      <c r="M340" s="17" t="n">
        <v>7.5</v>
      </c>
      <c r="N340" s="17"/>
      <c r="O340" s="17"/>
    </row>
  </sheetData>
  <autoFilter ref="A2:M340"/>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I10" r:id="rId17" display="SV-10634"/>
    <hyperlink ref="B11" r:id="rId18" display="Open case"/>
    <hyperlink ref="C11" r:id="rId19" display="Run 415"/>
    <hyperlink ref="I11" r:id="rId20" display="SV-10634"/>
    <hyperlink ref="B12" r:id="rId21" display="Open case"/>
    <hyperlink ref="C12" r:id="rId22" display="Run 415"/>
    <hyperlink ref="I12" r:id="rId23" display="SV-10634"/>
    <hyperlink ref="B13" r:id="rId24" display="Open case"/>
    <hyperlink ref="C13" r:id="rId25" display="Run 415"/>
    <hyperlink ref="I13" r:id="rId26" display="SV-10634"/>
    <hyperlink ref="B14" r:id="rId27" display="Open case"/>
    <hyperlink ref="C14" r:id="rId28" display="Run 415"/>
    <hyperlink ref="I14" r:id="rId29" display="SV-10634"/>
    <hyperlink ref="B15" r:id="rId30" display="Open case"/>
    <hyperlink ref="C15" r:id="rId31" display="Run 415"/>
    <hyperlink ref="I15" r:id="rId32" display="SV-10634"/>
    <hyperlink ref="B16" r:id="rId33" display="Open case"/>
    <hyperlink ref="C16" r:id="rId34" display="Run 415"/>
    <hyperlink ref="I16" r:id="rId35" display="SV-10634"/>
    <hyperlink ref="B17" r:id="rId36" display="Open case"/>
    <hyperlink ref="C17" r:id="rId37" display="Run 415"/>
    <hyperlink ref="I17" r:id="rId38" display="SV-10634"/>
    <hyperlink ref="B18" r:id="rId39" display="Open case"/>
    <hyperlink ref="C18" r:id="rId40" display="Run 415"/>
    <hyperlink ref="I18" r:id="rId41" display="SV-10635"/>
    <hyperlink ref="B19" r:id="rId42" display="Open case"/>
    <hyperlink ref="C19" r:id="rId43" display="Run 415"/>
    <hyperlink ref="B20" r:id="rId44" display="Open case"/>
    <hyperlink ref="C20" r:id="rId45" display="Run 415"/>
    <hyperlink ref="B21" r:id="rId46" display="Open case"/>
    <hyperlink ref="C21" r:id="rId47" display="Run 415"/>
    <hyperlink ref="B22" r:id="rId48" display="Open case"/>
    <hyperlink ref="C22" r:id="rId49" display="Run 415"/>
    <hyperlink ref="B23" r:id="rId50" display="Open case"/>
    <hyperlink ref="C23" r:id="rId51" display="Run 415"/>
    <hyperlink ref="B24" r:id="rId52" display="Open case"/>
    <hyperlink ref="C24" r:id="rId53" display="Run 415"/>
    <hyperlink ref="B25" r:id="rId54" display="Open case"/>
    <hyperlink ref="C25" r:id="rId55" display="Run 415"/>
    <hyperlink ref="B26" r:id="rId56" display="Open case"/>
    <hyperlink ref="C26" r:id="rId57" display="Run 415"/>
    <hyperlink ref="B27" r:id="rId58" display="Open case"/>
    <hyperlink ref="C27" r:id="rId59" display="Run 415"/>
    <hyperlink ref="B28" r:id="rId60" display="Open case"/>
    <hyperlink ref="C28" r:id="rId61" display="Run 415"/>
    <hyperlink ref="B29" r:id="rId62" display="Open case"/>
    <hyperlink ref="C29" r:id="rId63" display="Run 415"/>
    <hyperlink ref="B30" r:id="rId64" display="Open case"/>
    <hyperlink ref="C30" r:id="rId65" display="Run 415"/>
    <hyperlink ref="I30" r:id="rId66" display="SV-10340"/>
    <hyperlink ref="B31" r:id="rId67" display="Open case"/>
    <hyperlink ref="C31" r:id="rId68" display="Run 415"/>
    <hyperlink ref="B32" r:id="rId69" display="Open case"/>
    <hyperlink ref="C32" r:id="rId70" display="Run 415"/>
    <hyperlink ref="B33" r:id="rId71" display="Open case"/>
    <hyperlink ref="C33" r:id="rId72" display="Run 415"/>
    <hyperlink ref="B34" r:id="rId73" display="Open case"/>
    <hyperlink ref="C34" r:id="rId74" display="Run 415"/>
    <hyperlink ref="B35" r:id="rId75" display="Open case"/>
    <hyperlink ref="C35" r:id="rId76" display="Run 415"/>
    <hyperlink ref="B36" r:id="rId77" display="Open case"/>
    <hyperlink ref="C36" r:id="rId78" display="Run 415"/>
    <hyperlink ref="B37" r:id="rId79" display="Open case"/>
    <hyperlink ref="C37" r:id="rId80" display="Run 415"/>
    <hyperlink ref="B38" r:id="rId81" display="Open case"/>
    <hyperlink ref="C38" r:id="rId82" display="Run 415"/>
    <hyperlink ref="B39" r:id="rId83" display="Open case"/>
    <hyperlink ref="C39" r:id="rId84" display="Run 415"/>
    <hyperlink ref="B40" r:id="rId85" display="Open case"/>
    <hyperlink ref="C40" r:id="rId86" display="Run 415"/>
    <hyperlink ref="B41" r:id="rId87" display="Open case"/>
    <hyperlink ref="C41" r:id="rId88" display="Run 415"/>
    <hyperlink ref="B42" r:id="rId89" display="Open case"/>
    <hyperlink ref="C42" r:id="rId90" display="Run 415"/>
    <hyperlink ref="B43" r:id="rId91" display="Open case"/>
    <hyperlink ref="C43" r:id="rId92" display="Run 415"/>
    <hyperlink ref="B44" r:id="rId93" display="Open case"/>
    <hyperlink ref="C44" r:id="rId94" display="Run 415"/>
    <hyperlink ref="B45" r:id="rId95" display="Open case"/>
    <hyperlink ref="C45" r:id="rId96" display="Run 415"/>
    <hyperlink ref="B46" r:id="rId97" display="Open case"/>
    <hyperlink ref="C46" r:id="rId98" display="Run 415"/>
    <hyperlink ref="B47" r:id="rId99" display="Open case"/>
    <hyperlink ref="C47" r:id="rId100" display="Run 415"/>
    <hyperlink ref="B48" r:id="rId101" display="Open case"/>
    <hyperlink ref="C48" r:id="rId102" display="Run 415"/>
    <hyperlink ref="B49" r:id="rId103" display="Open case"/>
    <hyperlink ref="C49" r:id="rId104" display="Run 415"/>
    <hyperlink ref="B50" r:id="rId105" display="Open case"/>
    <hyperlink ref="C50" r:id="rId106" display="Run 415"/>
    <hyperlink ref="B51" r:id="rId107" display="Open case"/>
    <hyperlink ref="C51" r:id="rId108" display="Run 415"/>
    <hyperlink ref="B52" r:id="rId109" display="Open case"/>
    <hyperlink ref="C52" r:id="rId110" display="Run 415"/>
    <hyperlink ref="I52" r:id="rId111" display="SV-10320"/>
    <hyperlink ref="B53" r:id="rId112" display="Open case"/>
    <hyperlink ref="C53" r:id="rId113" display="Run 415"/>
    <hyperlink ref="I53" r:id="rId114" display="SV-10340"/>
    <hyperlink ref="B54" r:id="rId115" display="Open case"/>
    <hyperlink ref="C54" r:id="rId116" display="Run 415"/>
    <hyperlink ref="I54" r:id="rId117" display="SV-10001"/>
    <hyperlink ref="B55" r:id="rId118" display="Open case"/>
    <hyperlink ref="C55" r:id="rId119" display="Run 415"/>
    <hyperlink ref="I55" r:id="rId120" display="SV-10055"/>
    <hyperlink ref="B56" r:id="rId121" display="Open case"/>
    <hyperlink ref="C56" r:id="rId122" display="Run 415"/>
    <hyperlink ref="I56" r:id="rId123" display="SV-10060"/>
    <hyperlink ref="B57" r:id="rId124" display="Open case"/>
    <hyperlink ref="C57" r:id="rId125" display="Run 415"/>
    <hyperlink ref="I57" r:id="rId126" display="SV-10025"/>
    <hyperlink ref="B58" r:id="rId127" display="Open case"/>
    <hyperlink ref="C58" r:id="rId128" display="Run 415"/>
    <hyperlink ref="I58" r:id="rId129" display="SV-10320"/>
    <hyperlink ref="B59" r:id="rId130" display="Open case"/>
    <hyperlink ref="C59" r:id="rId131" display="Run 415"/>
    <hyperlink ref="B60" r:id="rId132" display="Open case"/>
    <hyperlink ref="C60" r:id="rId133" display="Run 415"/>
    <hyperlink ref="B61" r:id="rId134" display="Open case"/>
    <hyperlink ref="C61" r:id="rId135" display="Run 415"/>
    <hyperlink ref="B62" r:id="rId136" display="Open case"/>
    <hyperlink ref="C62" r:id="rId137" display="Run 415"/>
    <hyperlink ref="B63" r:id="rId138" display="Open case"/>
    <hyperlink ref="C63" r:id="rId139" display="Run 415"/>
    <hyperlink ref="B64" r:id="rId140" display="Open case"/>
    <hyperlink ref="C64" r:id="rId141" display="Run 415"/>
    <hyperlink ref="B65" r:id="rId142" display="Open case"/>
    <hyperlink ref="C65" r:id="rId143" display="Run 415"/>
    <hyperlink ref="B66" r:id="rId144" display="Open case"/>
    <hyperlink ref="C66" r:id="rId145" display="Run 415"/>
    <hyperlink ref="B67" r:id="rId146" display="Open case"/>
    <hyperlink ref="C67" r:id="rId147" display="Run 415"/>
    <hyperlink ref="B68" r:id="rId148" display="Open case"/>
    <hyperlink ref="C68" r:id="rId149" display="Run 415"/>
    <hyperlink ref="B69" r:id="rId150" display="Open case"/>
    <hyperlink ref="C69" r:id="rId151" display="Run 415"/>
    <hyperlink ref="B70" r:id="rId152" display="Open case"/>
    <hyperlink ref="C70" r:id="rId153" display="Run 415"/>
    <hyperlink ref="B71" r:id="rId154" display="Open case"/>
    <hyperlink ref="C71" r:id="rId155" display="Run 415"/>
    <hyperlink ref="B72" r:id="rId156" display="Open case"/>
    <hyperlink ref="C72" r:id="rId157" display="Run 415"/>
    <hyperlink ref="B73" r:id="rId158" display="Open case"/>
    <hyperlink ref="C73" r:id="rId159" display="Run 415"/>
    <hyperlink ref="B74" r:id="rId160" display="Open case"/>
    <hyperlink ref="C74" r:id="rId161" display="Run 415"/>
    <hyperlink ref="B75" r:id="rId162" display="Open case"/>
    <hyperlink ref="C75" r:id="rId163" display="Run 415"/>
    <hyperlink ref="B76" r:id="rId164" display="Open case"/>
    <hyperlink ref="C76" r:id="rId165" display="Run 415"/>
    <hyperlink ref="B77" r:id="rId166" display="Open case"/>
    <hyperlink ref="C77" r:id="rId167" display="Run 415"/>
    <hyperlink ref="B78" r:id="rId168" display="Open case"/>
    <hyperlink ref="C78" r:id="rId169" display="Run 415"/>
    <hyperlink ref="B79" r:id="rId170" display="Open case"/>
    <hyperlink ref="C79" r:id="rId171" display="Run 415"/>
    <hyperlink ref="B80" r:id="rId172" display="Open case"/>
    <hyperlink ref="C80" r:id="rId173" display="Run 415"/>
    <hyperlink ref="B81" r:id="rId174" display="Open case"/>
    <hyperlink ref="C81" r:id="rId175" display="Run 415"/>
    <hyperlink ref="B82" r:id="rId176" display="Open case"/>
    <hyperlink ref="C82" r:id="rId177" display="Run 415"/>
    <hyperlink ref="B83" r:id="rId178" display="Open case"/>
    <hyperlink ref="C83" r:id="rId179" display="Run 415"/>
    <hyperlink ref="B84" r:id="rId180" display="Open case"/>
    <hyperlink ref="C84" r:id="rId181" display="Run 415"/>
    <hyperlink ref="B85" r:id="rId182" display="Open case"/>
    <hyperlink ref="C85" r:id="rId183" display="Run 415"/>
    <hyperlink ref="B86" r:id="rId184" display="Open case"/>
    <hyperlink ref="C86" r:id="rId185" display="Run 415"/>
    <hyperlink ref="B87" r:id="rId186" display="Open case"/>
    <hyperlink ref="C87" r:id="rId187" display="Run 415"/>
    <hyperlink ref="B88" r:id="rId188" display="Open case"/>
    <hyperlink ref="C88" r:id="rId189" display="Run 415"/>
    <hyperlink ref="B89" r:id="rId190" display="Open case"/>
    <hyperlink ref="C89" r:id="rId191" display="Run 415"/>
    <hyperlink ref="B90" r:id="rId192" display="Open case"/>
    <hyperlink ref="C90" r:id="rId193" display="Run 415"/>
    <hyperlink ref="B91" r:id="rId194" display="Open case"/>
    <hyperlink ref="C91" r:id="rId195" display="Run 415"/>
    <hyperlink ref="B92" r:id="rId196" display="Open case"/>
    <hyperlink ref="C92" r:id="rId197" display="Run 415"/>
    <hyperlink ref="B93" r:id="rId198" display="Open case"/>
    <hyperlink ref="C93" r:id="rId199" display="Run 415"/>
    <hyperlink ref="B94" r:id="rId200" display="Open case"/>
    <hyperlink ref="C94" r:id="rId201" display="Run 415"/>
    <hyperlink ref="B95" r:id="rId202" display="Open case"/>
    <hyperlink ref="C95" r:id="rId203" display="Run 415"/>
    <hyperlink ref="B96" r:id="rId204" display="Open case"/>
    <hyperlink ref="C96" r:id="rId205" display="Run 415"/>
    <hyperlink ref="B97" r:id="rId206" display="Open case"/>
    <hyperlink ref="C97" r:id="rId207" display="Run 415"/>
    <hyperlink ref="B98" r:id="rId208" display="Open case"/>
    <hyperlink ref="C98" r:id="rId209" display="Run 415"/>
    <hyperlink ref="B99" r:id="rId210" display="Open case"/>
    <hyperlink ref="C99" r:id="rId211" display="Run 415"/>
    <hyperlink ref="B100" r:id="rId212" display="Open case"/>
    <hyperlink ref="C100" r:id="rId213" display="Run 415"/>
    <hyperlink ref="B101" r:id="rId214" display="Open case"/>
    <hyperlink ref="C101" r:id="rId215" display="Run 415"/>
    <hyperlink ref="B102" r:id="rId216" display="Open case"/>
    <hyperlink ref="C102" r:id="rId217" display="Run 415"/>
    <hyperlink ref="B103" r:id="rId218" display="Open case"/>
    <hyperlink ref="C103" r:id="rId219" display="Run 415"/>
    <hyperlink ref="B104" r:id="rId220" display="Open case"/>
    <hyperlink ref="C104" r:id="rId221" display="Run 415"/>
    <hyperlink ref="B105" r:id="rId222" display="Open case"/>
    <hyperlink ref="C105" r:id="rId223" display="Run 415"/>
    <hyperlink ref="B106" r:id="rId224" display="Open case"/>
    <hyperlink ref="C106" r:id="rId225" display="Run 415"/>
    <hyperlink ref="B107" r:id="rId226" display="Open case"/>
    <hyperlink ref="C107" r:id="rId227" display="Run 415"/>
    <hyperlink ref="B108" r:id="rId228" display="Open case"/>
    <hyperlink ref="C108" r:id="rId229" display="Run 415"/>
    <hyperlink ref="B109" r:id="rId230" display="Open case"/>
    <hyperlink ref="C109" r:id="rId231" display="Run 415"/>
    <hyperlink ref="B110" r:id="rId232" display="Open case"/>
    <hyperlink ref="C110" r:id="rId233" display="Run 415"/>
    <hyperlink ref="B111" r:id="rId234" display="Open case"/>
    <hyperlink ref="C111" r:id="rId235" display="Run 415"/>
    <hyperlink ref="B112" r:id="rId236" display="Open case"/>
    <hyperlink ref="C112" r:id="rId237" display="Run 415"/>
    <hyperlink ref="B113" r:id="rId238" display="Open case"/>
    <hyperlink ref="C113" r:id="rId239" display="Run 415"/>
    <hyperlink ref="B114" r:id="rId240" display="Open case"/>
    <hyperlink ref="C114" r:id="rId241" display="Run 415"/>
    <hyperlink ref="B115" r:id="rId242" display="Open case"/>
    <hyperlink ref="C115" r:id="rId243" display="Run 415"/>
    <hyperlink ref="B116" r:id="rId244" display="Open case"/>
    <hyperlink ref="C116" r:id="rId245" display="Run 415"/>
    <hyperlink ref="B117" r:id="rId246" display="Open case"/>
    <hyperlink ref="C117" r:id="rId247" display="Run 415"/>
    <hyperlink ref="B118" r:id="rId248" display="Open case"/>
    <hyperlink ref="C118" r:id="rId249" display="Run 415"/>
    <hyperlink ref="B119" r:id="rId250" display="Open case"/>
    <hyperlink ref="C119" r:id="rId251" display="Run 415"/>
    <hyperlink ref="B120" r:id="rId252" display="Open case"/>
    <hyperlink ref="C120" r:id="rId253" display="Run 415"/>
    <hyperlink ref="B121" r:id="rId254" display="Open case"/>
    <hyperlink ref="C121" r:id="rId255" display="Run 415"/>
    <hyperlink ref="B122" r:id="rId256" display="Open case"/>
    <hyperlink ref="C122" r:id="rId257" display="Run 415"/>
    <hyperlink ref="B123" r:id="rId258" display="Open case"/>
    <hyperlink ref="C123" r:id="rId259" display="Run 415"/>
    <hyperlink ref="B124" r:id="rId260" display="Open case"/>
    <hyperlink ref="C124" r:id="rId261" display="Run 415"/>
    <hyperlink ref="B125" r:id="rId262" display="Open case"/>
    <hyperlink ref="C125" r:id="rId263" display="Run 415"/>
    <hyperlink ref="B126" r:id="rId264" display="Open case"/>
    <hyperlink ref="C126" r:id="rId265" display="Run 415"/>
    <hyperlink ref="B127" r:id="rId266" display="Open case"/>
    <hyperlink ref="C127" r:id="rId267" display="Run 415"/>
    <hyperlink ref="B128" r:id="rId268" display="Open case"/>
    <hyperlink ref="C128" r:id="rId269" display="Run 415"/>
    <hyperlink ref="B129" r:id="rId270" display="Open case"/>
    <hyperlink ref="C129" r:id="rId271" display="Run 415"/>
    <hyperlink ref="B130" r:id="rId272" display="Open case"/>
    <hyperlink ref="C130" r:id="rId273" display="Run 415"/>
    <hyperlink ref="B131" r:id="rId274" display="Open case"/>
    <hyperlink ref="C131" r:id="rId275" display="Run 415"/>
    <hyperlink ref="B132" r:id="rId276" display="Open case"/>
    <hyperlink ref="C132" r:id="rId277" display="Run 415"/>
    <hyperlink ref="B133" r:id="rId278" display="Open case"/>
    <hyperlink ref="C133" r:id="rId279" display="Run 415"/>
    <hyperlink ref="B134" r:id="rId280" display="Open case"/>
    <hyperlink ref="C134" r:id="rId281" display="Run 415"/>
    <hyperlink ref="B135" r:id="rId282" display="Open case"/>
    <hyperlink ref="C135" r:id="rId283" display="Run 415"/>
    <hyperlink ref="B136" r:id="rId284" display="Open case"/>
    <hyperlink ref="C136" r:id="rId285" display="Run 415"/>
    <hyperlink ref="B137" r:id="rId286" display="Open case"/>
    <hyperlink ref="C137" r:id="rId287" display="Run 415"/>
    <hyperlink ref="B138" r:id="rId288" display="Open case"/>
    <hyperlink ref="C138" r:id="rId289" display="Run 415"/>
    <hyperlink ref="B139" r:id="rId290" display="Open case"/>
    <hyperlink ref="C139" r:id="rId291" display="Run 415"/>
    <hyperlink ref="B140" r:id="rId292" display="Open case"/>
    <hyperlink ref="C140" r:id="rId293" display="Run 415"/>
    <hyperlink ref="B141" r:id="rId294" display="Open case"/>
    <hyperlink ref="C141" r:id="rId295" display="Run 415"/>
    <hyperlink ref="B142" r:id="rId296" display="Open case"/>
    <hyperlink ref="C142" r:id="rId297" display="Run 415"/>
    <hyperlink ref="B143" r:id="rId298" display="Open case"/>
    <hyperlink ref="C143" r:id="rId299" display="Run 415"/>
    <hyperlink ref="B144" r:id="rId300" display="Open case"/>
    <hyperlink ref="C144" r:id="rId301" display="Run 415"/>
    <hyperlink ref="B145" r:id="rId302" display="Open case"/>
    <hyperlink ref="C145" r:id="rId303" display="Run 415"/>
    <hyperlink ref="B146" r:id="rId304" display="Open case"/>
    <hyperlink ref="C146" r:id="rId305" display="Run 415"/>
    <hyperlink ref="B147" r:id="rId306" display="Open case"/>
    <hyperlink ref="C147" r:id="rId307" display="Run 415"/>
    <hyperlink ref="B148" r:id="rId308" display="Open case"/>
    <hyperlink ref="C148" r:id="rId309" display="Run 415"/>
    <hyperlink ref="B149" r:id="rId310" display="Open case"/>
    <hyperlink ref="C149" r:id="rId311" display="Run 415"/>
    <hyperlink ref="B150" r:id="rId312" display="Open case"/>
    <hyperlink ref="C150" r:id="rId313" display="Run 415"/>
    <hyperlink ref="B151" r:id="rId314" display="Open case"/>
    <hyperlink ref="C151" r:id="rId315" display="Run 415"/>
    <hyperlink ref="B152" r:id="rId316" display="Open case"/>
    <hyperlink ref="C152" r:id="rId317" display="Run 415"/>
    <hyperlink ref="B153" r:id="rId318" display="Open case"/>
    <hyperlink ref="C153" r:id="rId319" display="Run 415"/>
    <hyperlink ref="B154" r:id="rId320" display="Open case"/>
    <hyperlink ref="C154" r:id="rId321" display="Run 415"/>
    <hyperlink ref="B155" r:id="rId322" display="Open case"/>
    <hyperlink ref="C155" r:id="rId323" display="Run 415"/>
    <hyperlink ref="B156" r:id="rId324" display="Open case"/>
    <hyperlink ref="C156" r:id="rId325" display="Run 415"/>
    <hyperlink ref="B157" r:id="rId326" display="Open case"/>
    <hyperlink ref="C157" r:id="rId327" display="Run 415"/>
    <hyperlink ref="B158" r:id="rId328" display="Open case"/>
    <hyperlink ref="C158" r:id="rId329" display="Run 415"/>
    <hyperlink ref="B159" r:id="rId330" display="Open case"/>
    <hyperlink ref="C159" r:id="rId331" display="Run 415"/>
    <hyperlink ref="B160" r:id="rId332" display="Open case"/>
    <hyperlink ref="C160" r:id="rId333" display="Run 415"/>
    <hyperlink ref="B161" r:id="rId334" display="Open case"/>
    <hyperlink ref="C161" r:id="rId335" display="Run 415"/>
    <hyperlink ref="B162" r:id="rId336" display="Open case"/>
    <hyperlink ref="C162" r:id="rId337" display="Run 415"/>
    <hyperlink ref="B163" r:id="rId338" display="Open case"/>
    <hyperlink ref="C163" r:id="rId339" display="Run 415"/>
    <hyperlink ref="B164" r:id="rId340" display="Open case"/>
    <hyperlink ref="C164" r:id="rId341" display="Run 415"/>
    <hyperlink ref="B165" r:id="rId342" display="Open case"/>
    <hyperlink ref="C165" r:id="rId343" display="Run 415"/>
    <hyperlink ref="B166" r:id="rId344" display="Open case"/>
    <hyperlink ref="C166" r:id="rId345" display="Run 415"/>
    <hyperlink ref="B167" r:id="rId346" display="Open case"/>
    <hyperlink ref="C167" r:id="rId347" display="Run 415"/>
    <hyperlink ref="B168" r:id="rId348" display="Open case"/>
    <hyperlink ref="C168" r:id="rId349" display="Run 415"/>
    <hyperlink ref="B169" r:id="rId350" display="Open case"/>
    <hyperlink ref="C169" r:id="rId351" display="Run 415"/>
    <hyperlink ref="B170" r:id="rId352" display="Open case"/>
    <hyperlink ref="C170" r:id="rId353" display="Run 415"/>
    <hyperlink ref="B171" r:id="rId354" display="Open case"/>
    <hyperlink ref="C171" r:id="rId355" display="Run 415"/>
    <hyperlink ref="B172" r:id="rId356" display="Open case"/>
    <hyperlink ref="C172" r:id="rId357" display="Run 415"/>
    <hyperlink ref="B173" r:id="rId358" display="Open case"/>
    <hyperlink ref="C173" r:id="rId359" display="Run 415"/>
    <hyperlink ref="B174" r:id="rId360" display="Open case"/>
    <hyperlink ref="C174" r:id="rId361" display="Run 415"/>
    <hyperlink ref="B175" r:id="rId362" display="Open case"/>
    <hyperlink ref="C175" r:id="rId363" display="Run 415"/>
    <hyperlink ref="B176" r:id="rId364" display="Open case"/>
    <hyperlink ref="C176" r:id="rId365" display="Run 415"/>
    <hyperlink ref="B177" r:id="rId366" display="Open case"/>
    <hyperlink ref="C177" r:id="rId367" display="Run 415"/>
    <hyperlink ref="B178" r:id="rId368" display="Open case"/>
    <hyperlink ref="C178" r:id="rId369" display="Run 415"/>
    <hyperlink ref="B179" r:id="rId370" display="Open case"/>
    <hyperlink ref="C179" r:id="rId371" display="Run 415"/>
    <hyperlink ref="B180" r:id="rId372" display="Open case"/>
    <hyperlink ref="C180" r:id="rId373" display="Run 415"/>
    <hyperlink ref="B181" r:id="rId374" display="Open case"/>
    <hyperlink ref="C181" r:id="rId375" display="Run 415"/>
    <hyperlink ref="B182" r:id="rId376" display="Open case"/>
    <hyperlink ref="C182" r:id="rId377" display="Run 415"/>
    <hyperlink ref="B183" r:id="rId378" display="Open case"/>
    <hyperlink ref="C183" r:id="rId379" display="Run 415"/>
    <hyperlink ref="B184" r:id="rId380" display="Open case"/>
    <hyperlink ref="C184" r:id="rId381" display="Run 415"/>
    <hyperlink ref="B185" r:id="rId382" display="Open case"/>
    <hyperlink ref="C185" r:id="rId383" display="Run 415"/>
    <hyperlink ref="B186" r:id="rId384" display="Open case"/>
    <hyperlink ref="C186" r:id="rId385" display="Run 415"/>
    <hyperlink ref="B187" r:id="rId386" display="Open case"/>
    <hyperlink ref="C187" r:id="rId387" display="Run 415"/>
    <hyperlink ref="B188" r:id="rId388" display="Open case"/>
    <hyperlink ref="C188" r:id="rId389" display="Run 415"/>
    <hyperlink ref="B189" r:id="rId390" display="Open case"/>
    <hyperlink ref="C189" r:id="rId391" display="Run 415"/>
    <hyperlink ref="B190" r:id="rId392" display="Open case"/>
    <hyperlink ref="C190" r:id="rId393" display="Run 415"/>
    <hyperlink ref="B191" r:id="rId394" display="Open case"/>
    <hyperlink ref="C191" r:id="rId395" display="Run 415"/>
    <hyperlink ref="B192" r:id="rId396" display="Open case"/>
    <hyperlink ref="C192" r:id="rId397" display="Run 415"/>
    <hyperlink ref="B193" r:id="rId398" display="Open case"/>
    <hyperlink ref="C193" r:id="rId399" display="Run 415"/>
    <hyperlink ref="B194" r:id="rId400" display="Open case"/>
    <hyperlink ref="C194" r:id="rId401" display="Run 415"/>
    <hyperlink ref="B195" r:id="rId402" display="Open case"/>
    <hyperlink ref="C195" r:id="rId403" display="Run 415"/>
    <hyperlink ref="B196" r:id="rId404" display="Open case"/>
    <hyperlink ref="C196" r:id="rId405" display="Run 415"/>
    <hyperlink ref="B197" r:id="rId406" display="Open case"/>
    <hyperlink ref="C197" r:id="rId407" display="Run 415"/>
    <hyperlink ref="B198" r:id="rId408" display="Open case"/>
    <hyperlink ref="C198" r:id="rId409" display="Run 415"/>
    <hyperlink ref="B199" r:id="rId410" display="Open case"/>
    <hyperlink ref="C199" r:id="rId411" display="Run 415"/>
    <hyperlink ref="B200" r:id="rId412" display="Open case"/>
    <hyperlink ref="C200" r:id="rId413" display="Run 415"/>
    <hyperlink ref="B201" r:id="rId414" display="Open case"/>
    <hyperlink ref="C201" r:id="rId415" display="Run 415"/>
    <hyperlink ref="B202" r:id="rId416" display="Open case"/>
    <hyperlink ref="C202" r:id="rId417" display="Run 415"/>
    <hyperlink ref="B203" r:id="rId418" display="Open case"/>
    <hyperlink ref="C203" r:id="rId419" display="Run 415"/>
    <hyperlink ref="B204" r:id="rId420" display="Open case"/>
    <hyperlink ref="C204" r:id="rId421" display="Run 415"/>
    <hyperlink ref="C205" r:id="rId422" display="Run 415"/>
    <hyperlink ref="B206" r:id="rId423" display="Open case"/>
    <hyperlink ref="C206" r:id="rId424" display="Run 415"/>
    <hyperlink ref="B207" r:id="rId425" display="Open case"/>
    <hyperlink ref="C207" r:id="rId426" display="Run 415"/>
    <hyperlink ref="B208" r:id="rId427" display="Open case"/>
    <hyperlink ref="C208" r:id="rId428" display="Run 415"/>
    <hyperlink ref="B209" r:id="rId429" display="Open case"/>
    <hyperlink ref="C209" r:id="rId430" display="Run 415"/>
    <hyperlink ref="B210" r:id="rId431" display="Open case"/>
    <hyperlink ref="C210" r:id="rId432" display="Run 415"/>
    <hyperlink ref="B211" r:id="rId433" display="Open case"/>
    <hyperlink ref="C211" r:id="rId434" display="Run 415"/>
    <hyperlink ref="B212" r:id="rId435" display="Open case"/>
    <hyperlink ref="C212" r:id="rId436" display="Run 415"/>
    <hyperlink ref="B213" r:id="rId437" display="Open case"/>
    <hyperlink ref="C213" r:id="rId438" display="Run 415"/>
    <hyperlink ref="B214" r:id="rId439" display="Open case"/>
    <hyperlink ref="C214" r:id="rId440" display="Run 415"/>
    <hyperlink ref="B215" r:id="rId441" display="Open case"/>
    <hyperlink ref="C215" r:id="rId442" display="Run 415"/>
    <hyperlink ref="B216" r:id="rId443" display="Open case"/>
    <hyperlink ref="C216" r:id="rId444" display="Run 415"/>
    <hyperlink ref="B217" r:id="rId445" display="Open case"/>
    <hyperlink ref="C217" r:id="rId446" display="Run 415"/>
    <hyperlink ref="B218" r:id="rId447" display="Open case"/>
    <hyperlink ref="C218" r:id="rId448" display="Run 415"/>
    <hyperlink ref="B219" r:id="rId449" display="Open case"/>
    <hyperlink ref="C219" r:id="rId450" display="Run 415"/>
    <hyperlink ref="B220" r:id="rId451" display="Open case"/>
    <hyperlink ref="C220" r:id="rId452" display="Run 415"/>
    <hyperlink ref="B221" r:id="rId453" display="Open case"/>
    <hyperlink ref="C221" r:id="rId454" display="Run 415"/>
    <hyperlink ref="B222" r:id="rId455" display="Open case"/>
    <hyperlink ref="C222" r:id="rId456" display="Run 415"/>
    <hyperlink ref="B223" r:id="rId457" display="Open case"/>
    <hyperlink ref="C223" r:id="rId458" display="Run 415"/>
    <hyperlink ref="B224" r:id="rId459" display="Open case"/>
    <hyperlink ref="C224" r:id="rId460" display="Run 415"/>
    <hyperlink ref="B225" r:id="rId461" display="Open case"/>
    <hyperlink ref="C225" r:id="rId462" display="Run 415"/>
    <hyperlink ref="B226" r:id="rId463" display="Open case"/>
    <hyperlink ref="C226" r:id="rId464" display="Run 415"/>
    <hyperlink ref="B227" r:id="rId465" display="Open case"/>
    <hyperlink ref="C227" r:id="rId466" display="Run 415"/>
    <hyperlink ref="B228" r:id="rId467" display="Open case"/>
    <hyperlink ref="C228" r:id="rId468" display="Run 415"/>
    <hyperlink ref="B229" r:id="rId469" display="Open case"/>
    <hyperlink ref="C229" r:id="rId470" display="Run 415"/>
    <hyperlink ref="B230" r:id="rId471" display="Open case"/>
    <hyperlink ref="C230" r:id="rId472" display="Run 415"/>
    <hyperlink ref="B231" r:id="rId473" display="Open case"/>
    <hyperlink ref="C231" r:id="rId474" display="Run 415"/>
    <hyperlink ref="B232" r:id="rId475" display="Open case"/>
    <hyperlink ref="C232" r:id="rId476" display="Run 415"/>
    <hyperlink ref="B233" r:id="rId477" display="Open case"/>
    <hyperlink ref="C233" r:id="rId478" display="Run 415"/>
    <hyperlink ref="B234" r:id="rId479" display="Open case"/>
    <hyperlink ref="C234" r:id="rId480" display="Run 415"/>
    <hyperlink ref="B235" r:id="rId481" display="Open case"/>
    <hyperlink ref="C235" r:id="rId482" display="Run 415"/>
    <hyperlink ref="B236" r:id="rId483" display="Open case"/>
    <hyperlink ref="C236" r:id="rId484" display="Run 415"/>
    <hyperlink ref="B237" r:id="rId485" display="Open case"/>
    <hyperlink ref="C237" r:id="rId486" display="Run 415"/>
    <hyperlink ref="B238" r:id="rId487" display="Open case"/>
    <hyperlink ref="C238" r:id="rId488" display="Run 415"/>
    <hyperlink ref="B239" r:id="rId489" display="Open case"/>
    <hyperlink ref="C239" r:id="rId490" display="Run 415"/>
    <hyperlink ref="B240" r:id="rId491" display="Open case"/>
    <hyperlink ref="C240" r:id="rId492" display="Run 415"/>
    <hyperlink ref="B241" r:id="rId493" display="Open case"/>
    <hyperlink ref="C241" r:id="rId494" display="Run 415"/>
    <hyperlink ref="B242" r:id="rId495" display="Open case"/>
    <hyperlink ref="C242" r:id="rId496" display="Run 415"/>
    <hyperlink ref="B243" r:id="rId497" display="Open case"/>
    <hyperlink ref="C243" r:id="rId498" display="Run 415"/>
    <hyperlink ref="B244" r:id="rId499" display="Open case"/>
    <hyperlink ref="C244" r:id="rId500" display="Run 415"/>
    <hyperlink ref="B245" r:id="rId501" display="Open case"/>
    <hyperlink ref="C245" r:id="rId502" display="Run 415"/>
    <hyperlink ref="B246" r:id="rId503" display="Open case"/>
    <hyperlink ref="C246" r:id="rId504" display="Run 415"/>
    <hyperlink ref="B247" r:id="rId505" display="Open case"/>
    <hyperlink ref="C247" r:id="rId506" display="Run 415"/>
    <hyperlink ref="B248" r:id="rId507" display="Open case"/>
    <hyperlink ref="C248" r:id="rId508" display="Run 415"/>
    <hyperlink ref="B249" r:id="rId509" display="Open case"/>
    <hyperlink ref="C249" r:id="rId510" display="Run 415"/>
    <hyperlink ref="B250" r:id="rId511" display="Open case"/>
    <hyperlink ref="C250" r:id="rId512" display="Run 415"/>
    <hyperlink ref="B251" r:id="rId513" display="Open case"/>
    <hyperlink ref="C251" r:id="rId514" display="Run 415"/>
    <hyperlink ref="B252" r:id="rId515" display="Open case"/>
    <hyperlink ref="C252" r:id="rId516" display="Run 415"/>
    <hyperlink ref="B253" r:id="rId517" display="Open case"/>
    <hyperlink ref="C253" r:id="rId518" display="Run 415"/>
    <hyperlink ref="B254" r:id="rId519" display="Open case"/>
    <hyperlink ref="C254" r:id="rId520" display="Run 415"/>
    <hyperlink ref="B255" r:id="rId521" display="Open case"/>
    <hyperlink ref="C255" r:id="rId522" display="Run 415"/>
    <hyperlink ref="B256" r:id="rId523" display="Open case"/>
    <hyperlink ref="C256" r:id="rId524" display="Run 415"/>
    <hyperlink ref="B257" r:id="rId525" display="Open case"/>
    <hyperlink ref="C257" r:id="rId526" display="Run 415"/>
    <hyperlink ref="B258" r:id="rId527" display="Open case"/>
    <hyperlink ref="C258" r:id="rId528" display="Run 415"/>
    <hyperlink ref="B259" r:id="rId529" display="Open case"/>
    <hyperlink ref="C259" r:id="rId530" display="Run 415"/>
    <hyperlink ref="B260" r:id="rId531" display="Open case"/>
    <hyperlink ref="C260" r:id="rId532" display="Run 415"/>
    <hyperlink ref="B261" r:id="rId533" display="Open case"/>
    <hyperlink ref="C261" r:id="rId534" display="Run 415"/>
    <hyperlink ref="B262" r:id="rId535" display="Open case"/>
    <hyperlink ref="C262" r:id="rId536" display="Run 415"/>
    <hyperlink ref="B263" r:id="rId537" display="Open case"/>
    <hyperlink ref="C263" r:id="rId538" display="Run 415"/>
    <hyperlink ref="B264" r:id="rId539" display="Open case"/>
    <hyperlink ref="C264" r:id="rId540" display="Run 415"/>
    <hyperlink ref="B265" r:id="rId541" display="Open case"/>
    <hyperlink ref="C265" r:id="rId542" display="Run 415"/>
    <hyperlink ref="B266" r:id="rId543" display="Open case"/>
    <hyperlink ref="C266" r:id="rId544" display="Run 415"/>
    <hyperlink ref="B267" r:id="rId545" display="Open case"/>
    <hyperlink ref="C267" r:id="rId546" display="Run 415"/>
    <hyperlink ref="B268" r:id="rId547" display="Open case"/>
    <hyperlink ref="C268" r:id="rId548" display="Run 415"/>
    <hyperlink ref="B269" r:id="rId549" display="Open case"/>
    <hyperlink ref="C269" r:id="rId550" display="Run 415"/>
    <hyperlink ref="B270" r:id="rId551" display="Open case"/>
    <hyperlink ref="C270" r:id="rId552" display="Run 415"/>
    <hyperlink ref="B271" r:id="rId553" display="Open case"/>
    <hyperlink ref="C271" r:id="rId554" display="Run 415"/>
    <hyperlink ref="B272" r:id="rId555" display="Open case"/>
    <hyperlink ref="C272" r:id="rId556" display="Run 415"/>
    <hyperlink ref="B273" r:id="rId557" display="Open case"/>
    <hyperlink ref="C273" r:id="rId558" display="Run 415"/>
    <hyperlink ref="B274" r:id="rId559" display="Open case"/>
    <hyperlink ref="C274" r:id="rId560" display="Run 415"/>
    <hyperlink ref="B275" r:id="rId561" display="Open case"/>
    <hyperlink ref="C275" r:id="rId562" display="Run 415"/>
    <hyperlink ref="B276" r:id="rId563" display="Open case"/>
    <hyperlink ref="C276" r:id="rId564" display="Run 415"/>
    <hyperlink ref="B277" r:id="rId565" display="Open case"/>
    <hyperlink ref="C277" r:id="rId566" display="Run 415"/>
    <hyperlink ref="B278" r:id="rId567" display="Open case"/>
    <hyperlink ref="C278" r:id="rId568" display="Run 415"/>
    <hyperlink ref="B279" r:id="rId569" display="Open case"/>
    <hyperlink ref="C279" r:id="rId570" display="Run 415"/>
    <hyperlink ref="B280" r:id="rId571" display="Open case"/>
    <hyperlink ref="C280" r:id="rId572" display="Run 415"/>
    <hyperlink ref="B281" r:id="rId573" display="Open case"/>
    <hyperlink ref="C281" r:id="rId574" display="Run 415"/>
    <hyperlink ref="B282" r:id="rId575" display="Open case"/>
    <hyperlink ref="C282" r:id="rId576" display="Run 415"/>
    <hyperlink ref="B283" r:id="rId577" display="Open case"/>
    <hyperlink ref="C283" r:id="rId578" display="Run 415"/>
    <hyperlink ref="B284" r:id="rId579" display="Open case"/>
    <hyperlink ref="C284" r:id="rId580" display="Run 415"/>
    <hyperlink ref="B285" r:id="rId581" display="Open case"/>
    <hyperlink ref="C285" r:id="rId582" display="Run 415"/>
    <hyperlink ref="B286" r:id="rId583" display="Open case"/>
    <hyperlink ref="C286" r:id="rId584" display="Run 415"/>
    <hyperlink ref="B287" r:id="rId585" display="Open case"/>
    <hyperlink ref="C287" r:id="rId586" display="Run 415"/>
    <hyperlink ref="B288" r:id="rId587" display="Open case"/>
    <hyperlink ref="C288" r:id="rId588" display="Run 415"/>
    <hyperlink ref="B289" r:id="rId589" display="Open case"/>
    <hyperlink ref="C289" r:id="rId590" display="Run 415"/>
    <hyperlink ref="B290" r:id="rId591" display="Open case"/>
    <hyperlink ref="C290" r:id="rId592" display="Run 415"/>
    <hyperlink ref="B291" r:id="rId593" display="Open case"/>
    <hyperlink ref="C291" r:id="rId594" display="Run 415"/>
    <hyperlink ref="B292" r:id="rId595" display="Open case"/>
    <hyperlink ref="C292" r:id="rId596" display="Run 415"/>
    <hyperlink ref="B293" r:id="rId597" display="Open case"/>
    <hyperlink ref="C293" r:id="rId598" display="Run 415"/>
    <hyperlink ref="B294" r:id="rId599" display="Open case"/>
    <hyperlink ref="C294" r:id="rId600" display="Run 415"/>
    <hyperlink ref="B295" r:id="rId601" display="Open case"/>
    <hyperlink ref="C295" r:id="rId602" display="Run 415"/>
    <hyperlink ref="B296" r:id="rId603" display="Open case"/>
    <hyperlink ref="C296" r:id="rId604" display="Run 415"/>
    <hyperlink ref="B297" r:id="rId605" display="Open case"/>
    <hyperlink ref="C297" r:id="rId606" display="Run 415"/>
    <hyperlink ref="B298" r:id="rId607" display="Open case"/>
    <hyperlink ref="C298" r:id="rId608" display="Run 415"/>
    <hyperlink ref="B299" r:id="rId609" display="Open case"/>
    <hyperlink ref="C299" r:id="rId610" display="Run 415"/>
    <hyperlink ref="B300" r:id="rId611" display="Open case"/>
    <hyperlink ref="C300" r:id="rId612" display="Run 415"/>
    <hyperlink ref="B301" r:id="rId613" display="Open case"/>
    <hyperlink ref="C301" r:id="rId614" display="Run 415"/>
    <hyperlink ref="B302" r:id="rId615" display="Open case"/>
    <hyperlink ref="C302" r:id="rId616" display="Run 415"/>
    <hyperlink ref="B303" r:id="rId617" display="Open case"/>
    <hyperlink ref="C303" r:id="rId618" display="Run 415"/>
    <hyperlink ref="B304" r:id="rId619" display="Open case"/>
    <hyperlink ref="C304" r:id="rId620" display="Run 415"/>
    <hyperlink ref="B305" r:id="rId621" display="Open case"/>
    <hyperlink ref="C305" r:id="rId622" display="Run 415"/>
    <hyperlink ref="B306" r:id="rId623" display="Open case"/>
    <hyperlink ref="C306" r:id="rId624" display="Run 415"/>
    <hyperlink ref="B307" r:id="rId625" display="Open case"/>
    <hyperlink ref="C307" r:id="rId626" display="Run 415"/>
    <hyperlink ref="B308" r:id="rId627" display="Open case"/>
    <hyperlink ref="C308" r:id="rId628" display="Run 415"/>
    <hyperlink ref="B309" r:id="rId629" display="Open case"/>
    <hyperlink ref="C309" r:id="rId630" display="Run 415"/>
    <hyperlink ref="B310" r:id="rId631" display="Open case"/>
    <hyperlink ref="C310" r:id="rId632" display="Run 415"/>
    <hyperlink ref="B311" r:id="rId633" display="Open case"/>
    <hyperlink ref="C311" r:id="rId634" display="Run 415"/>
    <hyperlink ref="B312" r:id="rId635" display="Open case"/>
    <hyperlink ref="C312" r:id="rId636" display="Run 415"/>
    <hyperlink ref="B313" r:id="rId637" display="Open case"/>
    <hyperlink ref="C313" r:id="rId638" display="Run 415"/>
    <hyperlink ref="B314" r:id="rId639" display="Open case"/>
    <hyperlink ref="C314" r:id="rId640" display="Run 415"/>
    <hyperlink ref="B315" r:id="rId641" display="Open case"/>
    <hyperlink ref="C315" r:id="rId642" display="Run 415"/>
    <hyperlink ref="B316" r:id="rId643" display="Open case"/>
    <hyperlink ref="C316" r:id="rId644" display="Run 415"/>
    <hyperlink ref="B317" r:id="rId645" display="Open case"/>
    <hyperlink ref="C317" r:id="rId646" display="Run 415"/>
    <hyperlink ref="B318" r:id="rId647" display="Open case"/>
    <hyperlink ref="C318" r:id="rId648" display="Run 415"/>
    <hyperlink ref="B319" r:id="rId649" display="Open case"/>
    <hyperlink ref="C319" r:id="rId650" display="Run 415"/>
    <hyperlink ref="B320" r:id="rId651" display="Open case"/>
    <hyperlink ref="C320" r:id="rId652" display="Run 415"/>
    <hyperlink ref="B321" r:id="rId653" display="Open case"/>
    <hyperlink ref="C321" r:id="rId654" display="Run 415"/>
    <hyperlink ref="B322" r:id="rId655" display="Open case"/>
    <hyperlink ref="C322" r:id="rId656" display="Run 415"/>
    <hyperlink ref="B323" r:id="rId657" display="Open case"/>
    <hyperlink ref="C323" r:id="rId658" display="Run 415"/>
    <hyperlink ref="B324" r:id="rId659" display="Open case"/>
    <hyperlink ref="C324" r:id="rId660" display="Run 415"/>
    <hyperlink ref="B325" r:id="rId661" display="Open case"/>
    <hyperlink ref="C325" r:id="rId662" display="Run 415"/>
    <hyperlink ref="B326" r:id="rId663" display="Open case"/>
    <hyperlink ref="C326" r:id="rId664" display="Run 415"/>
    <hyperlink ref="B327" r:id="rId665" display="Open case"/>
    <hyperlink ref="C327" r:id="rId666" display="Run 415"/>
    <hyperlink ref="B328" r:id="rId667" display="Open case"/>
    <hyperlink ref="C328" r:id="rId668" display="Run 415"/>
    <hyperlink ref="B329" r:id="rId669" display="Open case"/>
    <hyperlink ref="C329" r:id="rId670" display="Run 415"/>
    <hyperlink ref="B330" r:id="rId671" display="Open case"/>
    <hyperlink ref="C330" r:id="rId672" display="Run 415"/>
    <hyperlink ref="B331" r:id="rId673" display="Open case"/>
    <hyperlink ref="C331" r:id="rId674" display="Run 415"/>
    <hyperlink ref="B332" r:id="rId675" display="Open case"/>
    <hyperlink ref="C332" r:id="rId676" display="Run 415"/>
    <hyperlink ref="B333" r:id="rId677" display="Open case"/>
    <hyperlink ref="C333" r:id="rId678" display="Run 415"/>
    <hyperlink ref="B334" r:id="rId679" display="Open case"/>
    <hyperlink ref="C334" r:id="rId680" display="Run 415"/>
    <hyperlink ref="B335" r:id="rId681" display="Open case"/>
    <hyperlink ref="C335" r:id="rId682" display="Run 415"/>
    <hyperlink ref="B336" r:id="rId683" display="Open case"/>
    <hyperlink ref="C336" r:id="rId684" display="Run 415"/>
    <hyperlink ref="B337" r:id="rId685" display="Open case"/>
    <hyperlink ref="C337" r:id="rId686" display="Run 415"/>
    <hyperlink ref="B338" r:id="rId687" display="Open case"/>
    <hyperlink ref="C338" r:id="rId688" display="Run 415"/>
    <hyperlink ref="B339" r:id="rId689" display="Open case"/>
    <hyperlink ref="C339" r:id="rId690" display="Run 415"/>
    <hyperlink ref="B340" r:id="rId691" display="Open case"/>
    <hyperlink ref="C340" r:id="rId692"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9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841</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79.85" hidden="false" customHeight="false" outlineLevel="0" collapsed="false">
      <c r="A3" s="17" t="s">
        <v>90</v>
      </c>
      <c r="B3" s="18" t="s">
        <v>91</v>
      </c>
      <c r="C3" s="18" t="s">
        <v>12</v>
      </c>
      <c r="D3" s="17" t="s">
        <v>92</v>
      </c>
      <c r="E3" s="19" t="s">
        <v>18</v>
      </c>
      <c r="F3" s="17"/>
      <c r="G3" s="17" t="s">
        <v>93</v>
      </c>
      <c r="H3" s="17" t="s">
        <v>94</v>
      </c>
      <c r="I3" s="17"/>
      <c r="J3" s="17"/>
      <c r="K3" s="17" t="s">
        <v>57</v>
      </c>
      <c r="L3" s="17" t="n">
        <v>83</v>
      </c>
      <c r="M3" s="17" t="n">
        <v>31.6</v>
      </c>
      <c r="N3" s="17"/>
      <c r="O3" s="17"/>
    </row>
    <row r="4" customFormat="false" ht="68.65" hidden="false" customHeight="false" outlineLevel="0" collapsed="false">
      <c r="A4" s="17" t="s">
        <v>95</v>
      </c>
      <c r="B4" s="18" t="s">
        <v>91</v>
      </c>
      <c r="C4" s="18" t="s">
        <v>12</v>
      </c>
      <c r="D4" s="17" t="s">
        <v>96</v>
      </c>
      <c r="E4" s="19" t="s">
        <v>18</v>
      </c>
      <c r="F4" s="17"/>
      <c r="G4" s="17" t="s">
        <v>97</v>
      </c>
      <c r="H4" s="17" t="s">
        <v>94</v>
      </c>
      <c r="I4" s="17"/>
      <c r="J4" s="17"/>
      <c r="K4" s="17" t="s">
        <v>59</v>
      </c>
      <c r="L4" s="17" t="n">
        <v>232</v>
      </c>
      <c r="M4" s="17" t="n">
        <v>9.8</v>
      </c>
      <c r="N4" s="17" t="s">
        <v>98</v>
      </c>
      <c r="O4" s="17" t="s">
        <v>99</v>
      </c>
    </row>
    <row r="5" customFormat="false" ht="68.65" hidden="false" customHeight="false" outlineLevel="0" collapsed="false">
      <c r="A5" s="17" t="s">
        <v>100</v>
      </c>
      <c r="B5" s="18" t="s">
        <v>91</v>
      </c>
      <c r="C5" s="18" t="s">
        <v>12</v>
      </c>
      <c r="D5" s="17" t="s">
        <v>101</v>
      </c>
      <c r="E5" s="19" t="s">
        <v>18</v>
      </c>
      <c r="F5" s="17"/>
      <c r="G5" s="17" t="s">
        <v>102</v>
      </c>
      <c r="H5" s="17" t="s">
        <v>94</v>
      </c>
      <c r="I5" s="17"/>
      <c r="J5" s="17"/>
      <c r="K5" s="17" t="s">
        <v>59</v>
      </c>
      <c r="L5" s="17" t="n">
        <v>305</v>
      </c>
      <c r="M5" s="17" t="n">
        <v>9.8</v>
      </c>
      <c r="N5" s="17" t="s">
        <v>98</v>
      </c>
      <c r="O5" s="17" t="s">
        <v>103</v>
      </c>
    </row>
    <row r="6" customFormat="false" ht="79.85" hidden="false" customHeight="false" outlineLevel="0" collapsed="false">
      <c r="A6" s="17" t="s">
        <v>104</v>
      </c>
      <c r="B6" s="18" t="s">
        <v>91</v>
      </c>
      <c r="C6" s="18" t="s">
        <v>12</v>
      </c>
      <c r="D6" s="17" t="s">
        <v>105</v>
      </c>
      <c r="E6" s="19" t="s">
        <v>18</v>
      </c>
      <c r="F6" s="17"/>
      <c r="G6" s="17" t="s">
        <v>106</v>
      </c>
      <c r="H6" s="17" t="s">
        <v>94</v>
      </c>
      <c r="I6" s="17"/>
      <c r="J6" s="17"/>
      <c r="K6" s="17" t="s">
        <v>59</v>
      </c>
      <c r="L6" s="17" t="n">
        <v>324</v>
      </c>
      <c r="M6" s="17" t="n">
        <v>9.8</v>
      </c>
      <c r="N6" s="17" t="s">
        <v>98</v>
      </c>
      <c r="O6" s="17" t="s">
        <v>107</v>
      </c>
    </row>
    <row r="7" customFormat="false" ht="68.65" hidden="false" customHeight="false" outlineLevel="0" collapsed="false">
      <c r="A7" s="17" t="s">
        <v>108</v>
      </c>
      <c r="B7" s="18" t="s">
        <v>91</v>
      </c>
      <c r="C7" s="18" t="s">
        <v>12</v>
      </c>
      <c r="D7" s="17" t="s">
        <v>109</v>
      </c>
      <c r="E7" s="19" t="s">
        <v>18</v>
      </c>
      <c r="F7" s="17"/>
      <c r="G7" s="17" t="s">
        <v>110</v>
      </c>
      <c r="H7" s="17" t="s">
        <v>94</v>
      </c>
      <c r="I7" s="17"/>
      <c r="J7" s="17"/>
      <c r="K7" s="17" t="s">
        <v>59</v>
      </c>
      <c r="L7" s="17" t="n">
        <v>336</v>
      </c>
      <c r="M7" s="17" t="n">
        <v>10</v>
      </c>
      <c r="N7" s="17" t="s">
        <v>98</v>
      </c>
      <c r="O7" s="17" t="s">
        <v>111</v>
      </c>
    </row>
    <row r="8" customFormat="false" ht="79.85" hidden="false" customHeight="false" outlineLevel="0" collapsed="false">
      <c r="A8" s="17" t="s">
        <v>112</v>
      </c>
      <c r="B8" s="18" t="s">
        <v>91</v>
      </c>
      <c r="C8" s="18" t="s">
        <v>12</v>
      </c>
      <c r="D8" s="17" t="s">
        <v>113</v>
      </c>
      <c r="E8" s="19" t="s">
        <v>18</v>
      </c>
      <c r="F8" s="17"/>
      <c r="G8" s="17" t="s">
        <v>114</v>
      </c>
      <c r="H8" s="17" t="s">
        <v>94</v>
      </c>
      <c r="I8" s="17"/>
      <c r="J8" s="17"/>
      <c r="K8" s="17" t="s">
        <v>63</v>
      </c>
      <c r="L8" s="17" t="n">
        <v>57</v>
      </c>
      <c r="M8" s="17" t="n">
        <v>19</v>
      </c>
      <c r="N8" s="17" t="s">
        <v>98</v>
      </c>
      <c r="O8" s="17" t="s">
        <v>115</v>
      </c>
    </row>
    <row r="9" customFormat="false" ht="68.65" hidden="false" customHeight="false" outlineLevel="0" collapsed="false">
      <c r="A9" s="17" t="s">
        <v>116</v>
      </c>
      <c r="B9" s="18" t="s">
        <v>91</v>
      </c>
      <c r="C9" s="18" t="s">
        <v>12</v>
      </c>
      <c r="D9" s="17" t="s">
        <v>117</v>
      </c>
      <c r="E9" s="19" t="s">
        <v>18</v>
      </c>
      <c r="F9" s="17"/>
      <c r="G9" s="17" t="s">
        <v>118</v>
      </c>
      <c r="H9" s="17" t="s">
        <v>94</v>
      </c>
      <c r="I9" s="17"/>
      <c r="J9" s="17"/>
      <c r="K9" s="17" t="s">
        <v>64</v>
      </c>
      <c r="L9" s="17" t="n">
        <v>261</v>
      </c>
      <c r="M9" s="17" t="n">
        <v>8.1</v>
      </c>
      <c r="N9" s="17"/>
      <c r="O9" s="17"/>
    </row>
  </sheetData>
  <autoFilter ref="A2:M9"/>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842</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68.65" hidden="false" customHeight="false" outlineLevel="0" collapsed="false">
      <c r="A3" s="17" t="s">
        <v>119</v>
      </c>
      <c r="B3" s="18" t="s">
        <v>91</v>
      </c>
      <c r="C3" s="18" t="s">
        <v>12</v>
      </c>
      <c r="D3" s="17" t="s">
        <v>120</v>
      </c>
      <c r="E3" s="20" t="s">
        <v>20</v>
      </c>
      <c r="F3" s="17"/>
      <c r="G3" s="17" t="s">
        <v>121</v>
      </c>
      <c r="H3" s="17" t="s">
        <v>122</v>
      </c>
      <c r="I3" s="18" t="s">
        <v>123</v>
      </c>
      <c r="J3" s="17" t="s">
        <v>124</v>
      </c>
      <c r="K3" s="17" t="s">
        <v>57</v>
      </c>
      <c r="L3" s="17" t="n">
        <v>83</v>
      </c>
      <c r="M3" s="17" t="n">
        <v>17.7</v>
      </c>
      <c r="N3" s="17"/>
      <c r="O3" s="17"/>
    </row>
    <row r="4" customFormat="false" ht="68.65" hidden="false" customHeight="false" outlineLevel="0" collapsed="false">
      <c r="A4" s="17" t="s">
        <v>125</v>
      </c>
      <c r="B4" s="18" t="s">
        <v>91</v>
      </c>
      <c r="C4" s="18" t="s">
        <v>12</v>
      </c>
      <c r="D4" s="17" t="s">
        <v>126</v>
      </c>
      <c r="E4" s="20" t="s">
        <v>20</v>
      </c>
      <c r="F4" s="17"/>
      <c r="G4" s="17" t="s">
        <v>121</v>
      </c>
      <c r="H4" s="17" t="s">
        <v>122</v>
      </c>
      <c r="I4" s="18" t="s">
        <v>123</v>
      </c>
      <c r="J4" s="17" t="s">
        <v>124</v>
      </c>
      <c r="K4" s="17" t="s">
        <v>57</v>
      </c>
      <c r="L4" s="17" t="n">
        <v>83</v>
      </c>
      <c r="M4" s="17" t="n">
        <v>19.4</v>
      </c>
      <c r="N4" s="17"/>
      <c r="O4" s="17"/>
    </row>
    <row r="5" customFormat="false" ht="68.65" hidden="false" customHeight="false" outlineLevel="0" collapsed="false">
      <c r="A5" s="17" t="s">
        <v>127</v>
      </c>
      <c r="B5" s="18" t="s">
        <v>91</v>
      </c>
      <c r="C5" s="18" t="s">
        <v>12</v>
      </c>
      <c r="D5" s="17" t="s">
        <v>128</v>
      </c>
      <c r="E5" s="20" t="s">
        <v>20</v>
      </c>
      <c r="F5" s="17"/>
      <c r="G5" s="17" t="s">
        <v>129</v>
      </c>
      <c r="H5" s="17" t="s">
        <v>122</v>
      </c>
      <c r="I5" s="18" t="s">
        <v>123</v>
      </c>
      <c r="J5" s="17" t="s">
        <v>124</v>
      </c>
      <c r="K5" s="17" t="s">
        <v>57</v>
      </c>
      <c r="L5" s="17" t="n">
        <v>83</v>
      </c>
      <c r="M5" s="17" t="n">
        <v>17.6</v>
      </c>
      <c r="N5" s="17"/>
      <c r="O5" s="17"/>
    </row>
    <row r="6" customFormat="false" ht="68.65" hidden="false" customHeight="false" outlineLevel="0" collapsed="false">
      <c r="A6" s="17" t="s">
        <v>130</v>
      </c>
      <c r="B6" s="18" t="s">
        <v>91</v>
      </c>
      <c r="C6" s="18" t="s">
        <v>12</v>
      </c>
      <c r="D6" s="17" t="s">
        <v>131</v>
      </c>
      <c r="E6" s="20" t="s">
        <v>20</v>
      </c>
      <c r="F6" s="17"/>
      <c r="G6" s="17" t="s">
        <v>132</v>
      </c>
      <c r="H6" s="17" t="s">
        <v>122</v>
      </c>
      <c r="I6" s="18" t="s">
        <v>123</v>
      </c>
      <c r="J6" s="17" t="s">
        <v>124</v>
      </c>
      <c r="K6" s="17" t="s">
        <v>57</v>
      </c>
      <c r="L6" s="17" t="n">
        <v>83</v>
      </c>
      <c r="M6" s="17" t="n">
        <v>18.4</v>
      </c>
      <c r="N6" s="17"/>
      <c r="O6" s="17"/>
    </row>
    <row r="7" customFormat="false" ht="68.65" hidden="false" customHeight="false" outlineLevel="0" collapsed="false">
      <c r="A7" s="17" t="s">
        <v>133</v>
      </c>
      <c r="B7" s="18" t="s">
        <v>91</v>
      </c>
      <c r="C7" s="18" t="s">
        <v>12</v>
      </c>
      <c r="D7" s="17" t="s">
        <v>134</v>
      </c>
      <c r="E7" s="20" t="s">
        <v>20</v>
      </c>
      <c r="F7" s="17"/>
      <c r="G7" s="17" t="s">
        <v>135</v>
      </c>
      <c r="H7" s="17" t="s">
        <v>122</v>
      </c>
      <c r="I7" s="18" t="s">
        <v>123</v>
      </c>
      <c r="J7" s="17" t="s">
        <v>124</v>
      </c>
      <c r="K7" s="17" t="s">
        <v>57</v>
      </c>
      <c r="L7" s="17" t="n">
        <v>83</v>
      </c>
      <c r="M7" s="17" t="n">
        <v>17.6</v>
      </c>
      <c r="N7" s="17"/>
      <c r="O7" s="17"/>
    </row>
    <row r="8" customFormat="false" ht="68.65" hidden="false" customHeight="false" outlineLevel="0" collapsed="false">
      <c r="A8" s="17" t="s">
        <v>136</v>
      </c>
      <c r="B8" s="18" t="s">
        <v>91</v>
      </c>
      <c r="C8" s="18" t="s">
        <v>12</v>
      </c>
      <c r="D8" s="17" t="s">
        <v>137</v>
      </c>
      <c r="E8" s="20" t="s">
        <v>20</v>
      </c>
      <c r="F8" s="17"/>
      <c r="G8" s="17" t="s">
        <v>138</v>
      </c>
      <c r="H8" s="17" t="s">
        <v>122</v>
      </c>
      <c r="I8" s="18" t="s">
        <v>123</v>
      </c>
      <c r="J8" s="17" t="s">
        <v>124</v>
      </c>
      <c r="K8" s="17" t="s">
        <v>57</v>
      </c>
      <c r="L8" s="17" t="n">
        <v>83</v>
      </c>
      <c r="M8" s="17" t="n">
        <v>17.6</v>
      </c>
      <c r="N8" s="17"/>
      <c r="O8" s="17"/>
    </row>
    <row r="9" customFormat="false" ht="68.65" hidden="false" customHeight="false" outlineLevel="0" collapsed="false">
      <c r="A9" s="17" t="s">
        <v>139</v>
      </c>
      <c r="B9" s="18" t="s">
        <v>91</v>
      </c>
      <c r="C9" s="18" t="s">
        <v>12</v>
      </c>
      <c r="D9" s="17" t="s">
        <v>140</v>
      </c>
      <c r="E9" s="20" t="s">
        <v>20</v>
      </c>
      <c r="F9" s="17"/>
      <c r="G9" s="17" t="s">
        <v>141</v>
      </c>
      <c r="H9" s="17" t="s">
        <v>122</v>
      </c>
      <c r="I9" s="18" t="s">
        <v>123</v>
      </c>
      <c r="J9" s="17" t="s">
        <v>124</v>
      </c>
      <c r="K9" s="17" t="s">
        <v>57</v>
      </c>
      <c r="L9" s="17" t="n">
        <v>83</v>
      </c>
      <c r="M9" s="17" t="n">
        <v>19.2</v>
      </c>
      <c r="N9" s="17"/>
      <c r="O9" s="17"/>
    </row>
    <row r="10" customFormat="false" ht="79.85" hidden="false" customHeight="false" outlineLevel="0" collapsed="false">
      <c r="A10" s="17" t="s">
        <v>142</v>
      </c>
      <c r="B10" s="18" t="s">
        <v>91</v>
      </c>
      <c r="C10" s="18" t="s">
        <v>12</v>
      </c>
      <c r="D10" s="17" t="s">
        <v>143</v>
      </c>
      <c r="E10" s="20" t="s">
        <v>20</v>
      </c>
      <c r="F10" s="17"/>
      <c r="G10" s="17" t="s">
        <v>144</v>
      </c>
      <c r="H10" s="17" t="s">
        <v>122</v>
      </c>
      <c r="I10" s="18" t="s">
        <v>123</v>
      </c>
      <c r="J10" s="17" t="s">
        <v>124</v>
      </c>
      <c r="K10" s="17" t="s">
        <v>58</v>
      </c>
      <c r="L10" s="17" t="n">
        <v>84</v>
      </c>
      <c r="M10" s="17" t="n">
        <v>9.7</v>
      </c>
      <c r="N10" s="17"/>
      <c r="O10" s="17"/>
    </row>
    <row r="11" customFormat="false" ht="68.65" hidden="false" customHeight="false" outlineLevel="0" collapsed="false">
      <c r="A11" s="17" t="s">
        <v>145</v>
      </c>
      <c r="B11" s="18" t="s">
        <v>91</v>
      </c>
      <c r="C11" s="18" t="s">
        <v>12</v>
      </c>
      <c r="D11" s="17" t="s">
        <v>146</v>
      </c>
      <c r="E11" s="20" t="s">
        <v>20</v>
      </c>
      <c r="F11" s="17"/>
      <c r="G11" s="17" t="s">
        <v>147</v>
      </c>
      <c r="H11" s="17" t="s">
        <v>148</v>
      </c>
      <c r="I11" s="18" t="s">
        <v>149</v>
      </c>
      <c r="J11" s="17" t="s">
        <v>124</v>
      </c>
      <c r="K11" s="17" t="s">
        <v>58</v>
      </c>
      <c r="L11" s="17" t="n">
        <v>162</v>
      </c>
      <c r="M11" s="17" t="n">
        <v>11.4</v>
      </c>
      <c r="N11" s="17"/>
      <c r="O11" s="17"/>
    </row>
  </sheetData>
  <autoFilter ref="A2:M11"/>
  <mergeCells count="1">
    <mergeCell ref="A1:O1"/>
  </mergeCells>
  <hyperlinks>
    <hyperlink ref="B3" r:id="rId1" display="Open case"/>
    <hyperlink ref="C3" r:id="rId2" display="Run 415"/>
    <hyperlink ref="I3" r:id="rId3" display="SV-10634"/>
    <hyperlink ref="B4" r:id="rId4" display="Open case"/>
    <hyperlink ref="C4" r:id="rId5" display="Run 415"/>
    <hyperlink ref="I4" r:id="rId6" display="SV-10634"/>
    <hyperlink ref="B5" r:id="rId7" display="Open case"/>
    <hyperlink ref="C5" r:id="rId8" display="Run 415"/>
    <hyperlink ref="I5" r:id="rId9" display="SV-10634"/>
    <hyperlink ref="B6" r:id="rId10" display="Open case"/>
    <hyperlink ref="C6" r:id="rId11" display="Run 415"/>
    <hyperlink ref="I6" r:id="rId12" display="SV-10634"/>
    <hyperlink ref="B7" r:id="rId13" display="Open case"/>
    <hyperlink ref="C7" r:id="rId14" display="Run 415"/>
    <hyperlink ref="I7" r:id="rId15" display="SV-10634"/>
    <hyperlink ref="B8" r:id="rId16" display="Open case"/>
    <hyperlink ref="C8" r:id="rId17" display="Run 415"/>
    <hyperlink ref="I8" r:id="rId18" display="SV-10634"/>
    <hyperlink ref="B9" r:id="rId19" display="Open case"/>
    <hyperlink ref="C9" r:id="rId20" display="Run 415"/>
    <hyperlink ref="I9" r:id="rId21" display="SV-10634"/>
    <hyperlink ref="B10" r:id="rId22" display="Open case"/>
    <hyperlink ref="C10" r:id="rId23" display="Run 415"/>
    <hyperlink ref="I10" r:id="rId24" display="SV-10634"/>
    <hyperlink ref="B11" r:id="rId25" display="Open case"/>
    <hyperlink ref="C11" r:id="rId26" display="Run 415"/>
    <hyperlink ref="I11" r:id="rId27" display="SV-1063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843</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68.65" hidden="false" customHeight="false" outlineLevel="0" collapsed="false">
      <c r="A3" s="17" t="s">
        <v>150</v>
      </c>
      <c r="B3" s="18" t="s">
        <v>91</v>
      </c>
      <c r="C3" s="18" t="s">
        <v>12</v>
      </c>
      <c r="D3" s="17" t="s">
        <v>151</v>
      </c>
      <c r="E3" s="21" t="s">
        <v>22</v>
      </c>
      <c r="F3" s="17"/>
      <c r="G3" s="17" t="s">
        <v>152</v>
      </c>
      <c r="H3" s="17" t="s">
        <v>153</v>
      </c>
      <c r="I3" s="17"/>
      <c r="J3" s="17"/>
      <c r="K3" s="17" t="s">
        <v>59</v>
      </c>
      <c r="L3" s="17" t="n">
        <v>232</v>
      </c>
      <c r="M3" s="17" t="n">
        <v>9.9</v>
      </c>
      <c r="N3" s="17" t="s">
        <v>16</v>
      </c>
      <c r="O3" s="17"/>
    </row>
    <row r="4" customFormat="false" ht="68.65" hidden="false" customHeight="false" outlineLevel="0" collapsed="false">
      <c r="A4" s="17" t="s">
        <v>154</v>
      </c>
      <c r="B4" s="18" t="s">
        <v>91</v>
      </c>
      <c r="C4" s="18" t="s">
        <v>12</v>
      </c>
      <c r="D4" s="17" t="s">
        <v>155</v>
      </c>
      <c r="E4" s="21" t="s">
        <v>22</v>
      </c>
      <c r="F4" s="17"/>
      <c r="G4" s="17" t="s">
        <v>156</v>
      </c>
      <c r="H4" s="17" t="s">
        <v>153</v>
      </c>
      <c r="I4" s="17"/>
      <c r="J4" s="17"/>
      <c r="K4" s="17" t="s">
        <v>59</v>
      </c>
      <c r="L4" s="17" t="n">
        <v>232</v>
      </c>
      <c r="M4" s="17" t="n">
        <v>9.8</v>
      </c>
      <c r="N4" s="17" t="s">
        <v>16</v>
      </c>
      <c r="O4" s="17"/>
    </row>
    <row r="5" customFormat="false" ht="68.65" hidden="false" customHeight="false" outlineLevel="0" collapsed="false">
      <c r="A5" s="17" t="s">
        <v>157</v>
      </c>
      <c r="B5" s="18" t="s">
        <v>91</v>
      </c>
      <c r="C5" s="18" t="s">
        <v>12</v>
      </c>
      <c r="D5" s="17" t="s">
        <v>158</v>
      </c>
      <c r="E5" s="21" t="s">
        <v>22</v>
      </c>
      <c r="F5" s="17"/>
      <c r="G5" s="17" t="s">
        <v>159</v>
      </c>
      <c r="H5" s="17" t="s">
        <v>153</v>
      </c>
      <c r="I5" s="17"/>
      <c r="J5" s="17"/>
      <c r="K5" s="17" t="s">
        <v>59</v>
      </c>
      <c r="L5" s="17" t="n">
        <v>305</v>
      </c>
      <c r="M5" s="17" t="n">
        <v>9.9</v>
      </c>
      <c r="N5" s="17" t="s">
        <v>16</v>
      </c>
      <c r="O5" s="17"/>
    </row>
    <row r="6" customFormat="false" ht="68.65" hidden="false" customHeight="false" outlineLevel="0" collapsed="false">
      <c r="A6" s="17" t="s">
        <v>160</v>
      </c>
      <c r="B6" s="18" t="s">
        <v>91</v>
      </c>
      <c r="C6" s="18" t="s">
        <v>12</v>
      </c>
      <c r="D6" s="17" t="s">
        <v>161</v>
      </c>
      <c r="E6" s="21" t="s">
        <v>22</v>
      </c>
      <c r="F6" s="17"/>
      <c r="G6" s="17" t="s">
        <v>162</v>
      </c>
      <c r="H6" s="17" t="s">
        <v>153</v>
      </c>
      <c r="I6" s="17"/>
      <c r="J6" s="17"/>
      <c r="K6" s="17" t="s">
        <v>59</v>
      </c>
      <c r="L6" s="17" t="n">
        <v>305</v>
      </c>
      <c r="M6" s="17" t="n">
        <v>9.9</v>
      </c>
      <c r="N6" s="17" t="s">
        <v>16</v>
      </c>
      <c r="O6" s="17"/>
    </row>
    <row r="7" customFormat="false" ht="79.85" hidden="false" customHeight="false" outlineLevel="0" collapsed="false">
      <c r="A7" s="17" t="s">
        <v>163</v>
      </c>
      <c r="B7" s="18" t="s">
        <v>91</v>
      </c>
      <c r="C7" s="18" t="s">
        <v>12</v>
      </c>
      <c r="D7" s="17" t="s">
        <v>164</v>
      </c>
      <c r="E7" s="21" t="s">
        <v>22</v>
      </c>
      <c r="F7" s="17"/>
      <c r="G7" s="17" t="s">
        <v>165</v>
      </c>
      <c r="H7" s="17" t="s">
        <v>153</v>
      </c>
      <c r="I7" s="17"/>
      <c r="J7" s="17"/>
      <c r="K7" s="17" t="s">
        <v>60</v>
      </c>
      <c r="L7" s="17" t="n">
        <v>368</v>
      </c>
      <c r="M7" s="17" t="n">
        <v>6.9</v>
      </c>
      <c r="N7" s="17" t="s">
        <v>16</v>
      </c>
      <c r="O7" s="17"/>
    </row>
    <row r="8" customFormat="false" ht="68.65" hidden="false" customHeight="false" outlineLevel="0" collapsed="false">
      <c r="A8" s="17" t="s">
        <v>166</v>
      </c>
      <c r="B8" s="18" t="s">
        <v>91</v>
      </c>
      <c r="C8" s="18" t="s">
        <v>12</v>
      </c>
      <c r="D8" s="17" t="s">
        <v>167</v>
      </c>
      <c r="E8" s="21" t="s">
        <v>22</v>
      </c>
      <c r="F8" s="17"/>
      <c r="G8" s="17" t="s">
        <v>168</v>
      </c>
      <c r="H8" s="17" t="s">
        <v>153</v>
      </c>
      <c r="I8" s="17"/>
      <c r="J8" s="17"/>
      <c r="K8" s="17" t="s">
        <v>61</v>
      </c>
      <c r="L8" s="17" t="n">
        <v>76</v>
      </c>
      <c r="M8" s="17" t="n">
        <v>63.5</v>
      </c>
      <c r="N8" s="17" t="s">
        <v>16</v>
      </c>
      <c r="O8" s="17"/>
    </row>
    <row r="9" customFormat="false" ht="68.65" hidden="false" customHeight="false" outlineLevel="0" collapsed="false">
      <c r="A9" s="17" t="s">
        <v>169</v>
      </c>
      <c r="B9" s="18" t="s">
        <v>91</v>
      </c>
      <c r="C9" s="18" t="s">
        <v>12</v>
      </c>
      <c r="D9" s="17" t="s">
        <v>170</v>
      </c>
      <c r="E9" s="21" t="s">
        <v>22</v>
      </c>
      <c r="F9" s="17"/>
      <c r="G9" s="17" t="s">
        <v>171</v>
      </c>
      <c r="H9" s="17" t="s">
        <v>153</v>
      </c>
      <c r="I9" s="17"/>
      <c r="J9" s="17"/>
      <c r="K9" s="17" t="s">
        <v>62</v>
      </c>
      <c r="L9" s="17" t="n">
        <v>103</v>
      </c>
      <c r="M9" s="17" t="n">
        <v>27.8</v>
      </c>
      <c r="N9" s="17" t="s">
        <v>16</v>
      </c>
      <c r="O9" s="17"/>
    </row>
    <row r="10" customFormat="false" ht="68.65" hidden="false" customHeight="false" outlineLevel="0" collapsed="false">
      <c r="A10" s="17" t="s">
        <v>172</v>
      </c>
      <c r="B10" s="18" t="s">
        <v>91</v>
      </c>
      <c r="C10" s="18" t="s">
        <v>12</v>
      </c>
      <c r="D10" s="17" t="s">
        <v>173</v>
      </c>
      <c r="E10" s="21" t="s">
        <v>22</v>
      </c>
      <c r="F10" s="17"/>
      <c r="G10" s="17" t="s">
        <v>174</v>
      </c>
      <c r="H10" s="17" t="s">
        <v>153</v>
      </c>
      <c r="I10" s="17"/>
      <c r="J10" s="17"/>
      <c r="K10" s="17" t="s">
        <v>62</v>
      </c>
      <c r="L10" s="17" t="n">
        <v>115</v>
      </c>
      <c r="M10" s="17" t="n">
        <v>12.6</v>
      </c>
      <c r="N10" s="17" t="s">
        <v>16</v>
      </c>
      <c r="O10" s="17"/>
    </row>
    <row r="11" customFormat="false" ht="57.45" hidden="false" customHeight="false" outlineLevel="0" collapsed="false">
      <c r="A11" s="17" t="s">
        <v>175</v>
      </c>
      <c r="B11" s="18" t="s">
        <v>91</v>
      </c>
      <c r="C11" s="18" t="s">
        <v>12</v>
      </c>
      <c r="D11" s="17" t="s">
        <v>176</v>
      </c>
      <c r="E11" s="21" t="s">
        <v>22</v>
      </c>
      <c r="F11" s="17"/>
      <c r="G11" s="17" t="s">
        <v>177</v>
      </c>
      <c r="H11" s="17" t="s">
        <v>153</v>
      </c>
      <c r="I11" s="17"/>
      <c r="J11" s="17"/>
      <c r="K11" s="17" t="s">
        <v>62</v>
      </c>
      <c r="L11" s="17" t="n">
        <v>127</v>
      </c>
      <c r="M11" s="17" t="n">
        <v>12.9</v>
      </c>
      <c r="N11" s="17" t="s">
        <v>16</v>
      </c>
      <c r="O11" s="17"/>
    </row>
    <row r="12" customFormat="false" ht="68.65" hidden="false" customHeight="false" outlineLevel="0" collapsed="false">
      <c r="A12" s="17" t="s">
        <v>178</v>
      </c>
      <c r="B12" s="18" t="s">
        <v>91</v>
      </c>
      <c r="C12" s="18" t="s">
        <v>12</v>
      </c>
      <c r="D12" s="17" t="s">
        <v>179</v>
      </c>
      <c r="E12" s="21" t="s">
        <v>22</v>
      </c>
      <c r="F12" s="17"/>
      <c r="G12" s="17" t="s">
        <v>180</v>
      </c>
      <c r="H12" s="17" t="s">
        <v>153</v>
      </c>
      <c r="I12" s="17"/>
      <c r="J12" s="17"/>
      <c r="K12" s="17" t="s">
        <v>62</v>
      </c>
      <c r="L12" s="17" t="n">
        <v>143</v>
      </c>
      <c r="M12" s="17" t="n">
        <v>12.5</v>
      </c>
      <c r="N12" s="17" t="s">
        <v>16</v>
      </c>
      <c r="O12" s="17"/>
    </row>
    <row r="13" customFormat="false" ht="68.65" hidden="false" customHeight="false" outlineLevel="0" collapsed="false">
      <c r="A13" s="17" t="s">
        <v>181</v>
      </c>
      <c r="B13" s="18" t="s">
        <v>91</v>
      </c>
      <c r="C13" s="18" t="s">
        <v>12</v>
      </c>
      <c r="D13" s="17" t="s">
        <v>182</v>
      </c>
      <c r="E13" s="21" t="s">
        <v>22</v>
      </c>
      <c r="F13" s="17"/>
      <c r="G13" s="17" t="s">
        <v>183</v>
      </c>
      <c r="H13" s="17" t="s">
        <v>153</v>
      </c>
      <c r="I13" s="17"/>
      <c r="J13" s="17"/>
      <c r="K13" s="17" t="s">
        <v>62</v>
      </c>
      <c r="L13" s="17" t="n">
        <v>173</v>
      </c>
      <c r="M13" s="17" t="n">
        <v>4.8</v>
      </c>
      <c r="N13" s="17" t="s">
        <v>16</v>
      </c>
      <c r="O13" s="17"/>
    </row>
    <row r="14" customFormat="false" ht="68.65" hidden="false" customHeight="false" outlineLevel="0" collapsed="false">
      <c r="A14" s="17" t="s">
        <v>184</v>
      </c>
      <c r="B14" s="18" t="s">
        <v>91</v>
      </c>
      <c r="C14" s="18" t="s">
        <v>12</v>
      </c>
      <c r="D14" s="17" t="s">
        <v>185</v>
      </c>
      <c r="E14" s="21" t="s">
        <v>22</v>
      </c>
      <c r="F14" s="17"/>
      <c r="G14" s="17" t="s">
        <v>186</v>
      </c>
      <c r="H14" s="17" t="s">
        <v>153</v>
      </c>
      <c r="I14" s="18" t="s">
        <v>187</v>
      </c>
      <c r="J14" s="17" t="s">
        <v>188</v>
      </c>
      <c r="K14" s="17" t="s">
        <v>63</v>
      </c>
      <c r="L14" s="17" t="n">
        <v>105</v>
      </c>
      <c r="M14" s="17" t="n">
        <v>19.8</v>
      </c>
      <c r="N14" s="17" t="s">
        <v>16</v>
      </c>
      <c r="O14" s="17"/>
    </row>
    <row r="15" customFormat="false" ht="79.85" hidden="false" customHeight="false" outlineLevel="0" collapsed="false">
      <c r="A15" s="17" t="s">
        <v>189</v>
      </c>
      <c r="B15" s="18" t="s">
        <v>91</v>
      </c>
      <c r="C15" s="18" t="s">
        <v>12</v>
      </c>
      <c r="D15" s="17" t="s">
        <v>190</v>
      </c>
      <c r="E15" s="21" t="s">
        <v>22</v>
      </c>
      <c r="F15" s="17"/>
      <c r="G15" s="17" t="s">
        <v>191</v>
      </c>
      <c r="H15" s="17" t="s">
        <v>153</v>
      </c>
      <c r="I15" s="17"/>
      <c r="J15" s="17"/>
      <c r="K15" s="17" t="s">
        <v>69</v>
      </c>
      <c r="L15" s="17" t="n">
        <v>85</v>
      </c>
      <c r="M15" s="17" t="n">
        <v>0.8</v>
      </c>
      <c r="N15" s="17" t="s">
        <v>16</v>
      </c>
      <c r="O15" s="17"/>
    </row>
    <row r="16" customFormat="false" ht="79.85" hidden="false" customHeight="false" outlineLevel="0" collapsed="false">
      <c r="A16" s="17" t="s">
        <v>192</v>
      </c>
      <c r="B16" s="18" t="s">
        <v>91</v>
      </c>
      <c r="C16" s="18" t="s">
        <v>12</v>
      </c>
      <c r="D16" s="17" t="s">
        <v>193</v>
      </c>
      <c r="E16" s="21" t="s">
        <v>22</v>
      </c>
      <c r="F16" s="17"/>
      <c r="G16" s="17" t="s">
        <v>191</v>
      </c>
      <c r="H16" s="17" t="s">
        <v>153</v>
      </c>
      <c r="I16" s="17"/>
      <c r="J16" s="17"/>
      <c r="K16" s="17" t="s">
        <v>69</v>
      </c>
      <c r="L16" s="17" t="n">
        <v>98</v>
      </c>
      <c r="M16" s="17" t="n">
        <v>0.6</v>
      </c>
      <c r="N16" s="17" t="s">
        <v>16</v>
      </c>
      <c r="O16" s="17"/>
    </row>
    <row r="17" customFormat="false" ht="79.85" hidden="false" customHeight="false" outlineLevel="0" collapsed="false">
      <c r="A17" s="17" t="s">
        <v>194</v>
      </c>
      <c r="B17" s="18" t="s">
        <v>91</v>
      </c>
      <c r="C17" s="18" t="s">
        <v>12</v>
      </c>
      <c r="D17" s="17" t="s">
        <v>195</v>
      </c>
      <c r="E17" s="21" t="s">
        <v>22</v>
      </c>
      <c r="F17" s="17"/>
      <c r="G17" s="17" t="s">
        <v>191</v>
      </c>
      <c r="H17" s="17" t="s">
        <v>153</v>
      </c>
      <c r="I17" s="17"/>
      <c r="J17" s="17"/>
      <c r="K17" s="17" t="s">
        <v>69</v>
      </c>
      <c r="L17" s="17" t="n">
        <v>115</v>
      </c>
      <c r="M17" s="17" t="n">
        <v>0.6</v>
      </c>
      <c r="N17" s="17" t="s">
        <v>16</v>
      </c>
      <c r="O17" s="17"/>
    </row>
    <row r="18" customFormat="false" ht="79.85" hidden="false" customHeight="false" outlineLevel="0" collapsed="false">
      <c r="A18" s="17" t="s">
        <v>196</v>
      </c>
      <c r="B18" s="18" t="s">
        <v>91</v>
      </c>
      <c r="C18" s="18" t="s">
        <v>12</v>
      </c>
      <c r="D18" s="17" t="s">
        <v>197</v>
      </c>
      <c r="E18" s="21" t="s">
        <v>22</v>
      </c>
      <c r="F18" s="17"/>
      <c r="G18" s="17" t="s">
        <v>191</v>
      </c>
      <c r="H18" s="17" t="s">
        <v>153</v>
      </c>
      <c r="I18" s="17"/>
      <c r="J18" s="17"/>
      <c r="K18" s="17" t="s">
        <v>69</v>
      </c>
      <c r="L18" s="17" t="n">
        <v>126</v>
      </c>
      <c r="M18" s="17" t="n">
        <v>0.6</v>
      </c>
      <c r="N18" s="17" t="s">
        <v>16</v>
      </c>
      <c r="O18" s="17"/>
    </row>
    <row r="19" customFormat="false" ht="79.85" hidden="false" customHeight="false" outlineLevel="0" collapsed="false">
      <c r="A19" s="17" t="s">
        <v>198</v>
      </c>
      <c r="B19" s="18" t="s">
        <v>91</v>
      </c>
      <c r="C19" s="18" t="s">
        <v>12</v>
      </c>
      <c r="D19" s="17" t="s">
        <v>199</v>
      </c>
      <c r="E19" s="21" t="s">
        <v>22</v>
      </c>
      <c r="F19" s="17"/>
      <c r="G19" s="17" t="s">
        <v>191</v>
      </c>
      <c r="H19" s="17" t="s">
        <v>153</v>
      </c>
      <c r="I19" s="17"/>
      <c r="J19" s="17"/>
      <c r="K19" s="17" t="s">
        <v>69</v>
      </c>
      <c r="L19" s="17" t="n">
        <v>137</v>
      </c>
      <c r="M19" s="17" t="n">
        <v>0.7</v>
      </c>
      <c r="N19" s="17" t="s">
        <v>16</v>
      </c>
      <c r="O19" s="17"/>
    </row>
    <row r="20" customFormat="false" ht="68.65" hidden="false" customHeight="false" outlineLevel="0" collapsed="false">
      <c r="A20" s="17" t="s">
        <v>200</v>
      </c>
      <c r="B20" s="18" t="s">
        <v>91</v>
      </c>
      <c r="C20" s="18" t="s">
        <v>12</v>
      </c>
      <c r="D20" s="17" t="s">
        <v>201</v>
      </c>
      <c r="E20" s="21" t="s">
        <v>22</v>
      </c>
      <c r="F20" s="17"/>
      <c r="G20" s="17" t="s">
        <v>202</v>
      </c>
      <c r="H20" s="17" t="s">
        <v>153</v>
      </c>
      <c r="I20" s="17"/>
      <c r="J20" s="17"/>
      <c r="K20" s="17" t="s">
        <v>69</v>
      </c>
      <c r="L20" s="17" t="n">
        <v>184</v>
      </c>
      <c r="M20" s="17" t="n">
        <v>21.9</v>
      </c>
      <c r="N20" s="17" t="s">
        <v>16</v>
      </c>
      <c r="O20" s="17"/>
    </row>
  </sheetData>
  <autoFilter ref="A2:M20"/>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I14" r:id="rId25" display="SV-10340"/>
    <hyperlink ref="B15" r:id="rId26" display="Open case"/>
    <hyperlink ref="C15" r:id="rId27" display="Run 415"/>
    <hyperlink ref="B16" r:id="rId28" display="Open case"/>
    <hyperlink ref="C16" r:id="rId29" display="Run 415"/>
    <hyperlink ref="B17" r:id="rId30" display="Open case"/>
    <hyperlink ref="C17" r:id="rId31" display="Run 415"/>
    <hyperlink ref="B18" r:id="rId32" display="Open case"/>
    <hyperlink ref="C18" r:id="rId33" display="Run 415"/>
    <hyperlink ref="B19" r:id="rId34" display="Open case"/>
    <hyperlink ref="C19" r:id="rId35" display="Run 415"/>
    <hyperlink ref="B20" r:id="rId36" display="Open case"/>
    <hyperlink ref="C20" r:id="rId37"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844</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15" hidden="false" customHeight="false" outlineLevel="0" collapsed="false">
      <c r="A3" s="17" t="s">
        <v>203</v>
      </c>
      <c r="B3" s="18" t="s">
        <v>91</v>
      </c>
      <c r="C3" s="18" t="s">
        <v>12</v>
      </c>
      <c r="D3" s="17" t="s">
        <v>204</v>
      </c>
      <c r="E3" s="20" t="s">
        <v>24</v>
      </c>
      <c r="F3" s="17"/>
      <c r="G3" s="17" t="s">
        <v>205</v>
      </c>
      <c r="H3" s="17" t="s">
        <v>206</v>
      </c>
      <c r="I3" s="17"/>
      <c r="J3" s="17"/>
      <c r="K3" s="17" t="s">
        <v>57</v>
      </c>
      <c r="L3" s="17" t="n">
        <v>83</v>
      </c>
      <c r="M3" s="17" t="n">
        <v>30.4</v>
      </c>
      <c r="N3" s="17"/>
      <c r="O3" s="17"/>
    </row>
    <row r="4" customFormat="false" ht="23.85" hidden="false" customHeight="false" outlineLevel="0" collapsed="false">
      <c r="A4" s="17" t="s">
        <v>207</v>
      </c>
      <c r="B4" s="18" t="s">
        <v>91</v>
      </c>
      <c r="C4" s="18" t="s">
        <v>12</v>
      </c>
      <c r="D4" s="17" t="s">
        <v>208</v>
      </c>
      <c r="E4" s="20" t="s">
        <v>24</v>
      </c>
      <c r="F4" s="17"/>
      <c r="G4" s="17" t="s">
        <v>205</v>
      </c>
      <c r="H4" s="17" t="s">
        <v>206</v>
      </c>
      <c r="I4" s="17"/>
      <c r="J4" s="17"/>
      <c r="K4" s="17" t="s">
        <v>57</v>
      </c>
      <c r="L4" s="17" t="n">
        <v>83</v>
      </c>
      <c r="M4" s="17" t="n">
        <v>29.5</v>
      </c>
      <c r="N4" s="17"/>
      <c r="O4" s="17"/>
    </row>
    <row r="5" customFormat="false" ht="23.85" hidden="false" customHeight="false" outlineLevel="0" collapsed="false">
      <c r="A5" s="17" t="s">
        <v>209</v>
      </c>
      <c r="B5" s="18" t="s">
        <v>91</v>
      </c>
      <c r="C5" s="18" t="s">
        <v>12</v>
      </c>
      <c r="D5" s="17" t="s">
        <v>210</v>
      </c>
      <c r="E5" s="20" t="s">
        <v>24</v>
      </c>
      <c r="F5" s="17"/>
      <c r="G5" s="17" t="s">
        <v>205</v>
      </c>
      <c r="H5" s="17" t="s">
        <v>206</v>
      </c>
      <c r="I5" s="17"/>
      <c r="J5" s="17"/>
      <c r="K5" s="17" t="s">
        <v>57</v>
      </c>
      <c r="L5" s="17" t="n">
        <v>83</v>
      </c>
      <c r="M5" s="17" t="n">
        <v>28.3</v>
      </c>
      <c r="N5" s="17"/>
      <c r="O5" s="17"/>
    </row>
    <row r="6" customFormat="false" ht="15" hidden="false" customHeight="false" outlineLevel="0" collapsed="false">
      <c r="A6" s="17" t="s">
        <v>211</v>
      </c>
      <c r="B6" s="18" t="s">
        <v>91</v>
      </c>
      <c r="C6" s="18" t="s">
        <v>12</v>
      </c>
      <c r="D6" s="17" t="s">
        <v>212</v>
      </c>
      <c r="E6" s="20" t="s">
        <v>24</v>
      </c>
      <c r="F6" s="17"/>
      <c r="G6" s="17" t="s">
        <v>205</v>
      </c>
      <c r="H6" s="17" t="s">
        <v>206</v>
      </c>
      <c r="I6" s="17"/>
      <c r="J6" s="17"/>
      <c r="K6" s="17" t="s">
        <v>57</v>
      </c>
      <c r="L6" s="17" t="n">
        <v>83</v>
      </c>
      <c r="M6" s="17" t="n">
        <v>29.1</v>
      </c>
      <c r="N6" s="17"/>
      <c r="O6" s="17"/>
    </row>
    <row r="7" customFormat="false" ht="15" hidden="false" customHeight="false" outlineLevel="0" collapsed="false">
      <c r="A7" s="17" t="s">
        <v>213</v>
      </c>
      <c r="B7" s="18" t="s">
        <v>91</v>
      </c>
      <c r="C7" s="18" t="s">
        <v>12</v>
      </c>
      <c r="D7" s="17" t="s">
        <v>214</v>
      </c>
      <c r="E7" s="20" t="s">
        <v>24</v>
      </c>
      <c r="F7" s="17"/>
      <c r="G7" s="17" t="s">
        <v>205</v>
      </c>
      <c r="H7" s="17" t="s">
        <v>206</v>
      </c>
      <c r="I7" s="17"/>
      <c r="J7" s="17"/>
      <c r="K7" s="17" t="s">
        <v>57</v>
      </c>
      <c r="L7" s="17" t="n">
        <v>83</v>
      </c>
      <c r="M7" s="17" t="n">
        <v>27.5</v>
      </c>
      <c r="N7" s="17"/>
      <c r="O7" s="17"/>
    </row>
    <row r="8" customFormat="false" ht="23.85" hidden="false" customHeight="false" outlineLevel="0" collapsed="false">
      <c r="A8" s="17" t="s">
        <v>215</v>
      </c>
      <c r="B8" s="18" t="s">
        <v>91</v>
      </c>
      <c r="C8" s="18" t="s">
        <v>12</v>
      </c>
      <c r="D8" s="17" t="s">
        <v>216</v>
      </c>
      <c r="E8" s="20" t="s">
        <v>24</v>
      </c>
      <c r="F8" s="17"/>
      <c r="G8" s="17" t="s">
        <v>205</v>
      </c>
      <c r="H8" s="17" t="s">
        <v>206</v>
      </c>
      <c r="I8" s="17"/>
      <c r="J8" s="17"/>
      <c r="K8" s="17" t="s">
        <v>57</v>
      </c>
      <c r="L8" s="17" t="n">
        <v>83</v>
      </c>
      <c r="M8" s="17" t="n">
        <v>28.6</v>
      </c>
      <c r="N8" s="17"/>
      <c r="O8" s="17"/>
    </row>
    <row r="9" customFormat="false" ht="15" hidden="false" customHeight="false" outlineLevel="0" collapsed="false">
      <c r="A9" s="17" t="s">
        <v>217</v>
      </c>
      <c r="B9" s="18" t="s">
        <v>91</v>
      </c>
      <c r="C9" s="18" t="s">
        <v>12</v>
      </c>
      <c r="D9" s="17" t="s">
        <v>218</v>
      </c>
      <c r="E9" s="20" t="s">
        <v>24</v>
      </c>
      <c r="F9" s="17"/>
      <c r="G9" s="17" t="s">
        <v>205</v>
      </c>
      <c r="H9" s="17" t="s">
        <v>206</v>
      </c>
      <c r="I9" s="17"/>
      <c r="J9" s="17"/>
      <c r="K9" s="17" t="s">
        <v>57</v>
      </c>
      <c r="L9" s="17" t="n">
        <v>83</v>
      </c>
      <c r="M9" s="17" t="n">
        <v>27.2</v>
      </c>
      <c r="N9" s="17"/>
      <c r="O9" s="17"/>
    </row>
    <row r="10" customFormat="false" ht="15" hidden="false" customHeight="false" outlineLevel="0" collapsed="false">
      <c r="A10" s="17" t="s">
        <v>219</v>
      </c>
      <c r="B10" s="18" t="s">
        <v>91</v>
      </c>
      <c r="C10" s="18" t="s">
        <v>12</v>
      </c>
      <c r="D10" s="17" t="s">
        <v>220</v>
      </c>
      <c r="E10" s="20" t="s">
        <v>24</v>
      </c>
      <c r="F10" s="17"/>
      <c r="G10" s="17" t="s">
        <v>205</v>
      </c>
      <c r="H10" s="17" t="s">
        <v>206</v>
      </c>
      <c r="I10" s="17"/>
      <c r="J10" s="17"/>
      <c r="K10" s="17" t="s">
        <v>57</v>
      </c>
      <c r="L10" s="17" t="n">
        <v>83</v>
      </c>
      <c r="M10" s="17" t="n">
        <v>28.8</v>
      </c>
      <c r="N10" s="17"/>
      <c r="O10" s="17"/>
    </row>
    <row r="11" customFormat="false" ht="15" hidden="false" customHeight="false" outlineLevel="0" collapsed="false">
      <c r="A11" s="17" t="s">
        <v>221</v>
      </c>
      <c r="B11" s="18" t="s">
        <v>91</v>
      </c>
      <c r="C11" s="18" t="s">
        <v>12</v>
      </c>
      <c r="D11" s="17" t="s">
        <v>222</v>
      </c>
      <c r="E11" s="20" t="s">
        <v>24</v>
      </c>
      <c r="F11" s="17"/>
      <c r="G11" s="17" t="s">
        <v>205</v>
      </c>
      <c r="H11" s="17" t="s">
        <v>206</v>
      </c>
      <c r="I11" s="17"/>
      <c r="J11" s="17"/>
      <c r="K11" s="17" t="s">
        <v>57</v>
      </c>
      <c r="L11" s="17" t="n">
        <v>83</v>
      </c>
      <c r="M11" s="17" t="n">
        <v>30.8</v>
      </c>
      <c r="N11" s="17"/>
      <c r="O11" s="17"/>
    </row>
    <row r="12" customFormat="false" ht="15" hidden="false" customHeight="false" outlineLevel="0" collapsed="false">
      <c r="A12" s="17" t="s">
        <v>223</v>
      </c>
      <c r="B12" s="18" t="s">
        <v>91</v>
      </c>
      <c r="C12" s="18" t="s">
        <v>12</v>
      </c>
      <c r="D12" s="17" t="s">
        <v>224</v>
      </c>
      <c r="E12" s="20" t="s">
        <v>24</v>
      </c>
      <c r="F12" s="17"/>
      <c r="G12" s="17" t="s">
        <v>205</v>
      </c>
      <c r="H12" s="17" t="s">
        <v>206</v>
      </c>
      <c r="I12" s="17"/>
      <c r="J12" s="17"/>
      <c r="K12" s="17" t="s">
        <v>57</v>
      </c>
      <c r="L12" s="17" t="n">
        <v>83</v>
      </c>
      <c r="M12" s="17" t="n">
        <v>28.3</v>
      </c>
      <c r="N12" s="17"/>
      <c r="O12" s="17"/>
    </row>
    <row r="13" customFormat="false" ht="23.85" hidden="false" customHeight="false" outlineLevel="0" collapsed="false">
      <c r="A13" s="17" t="s">
        <v>225</v>
      </c>
      <c r="B13" s="18" t="s">
        <v>91</v>
      </c>
      <c r="C13" s="18" t="s">
        <v>12</v>
      </c>
      <c r="D13" s="17" t="s">
        <v>226</v>
      </c>
      <c r="E13" s="20" t="s">
        <v>24</v>
      </c>
      <c r="F13" s="17"/>
      <c r="G13" s="17" t="s">
        <v>205</v>
      </c>
      <c r="H13" s="17" t="s">
        <v>206</v>
      </c>
      <c r="I13" s="17"/>
      <c r="J13" s="17"/>
      <c r="K13" s="17" t="s">
        <v>57</v>
      </c>
      <c r="L13" s="17" t="n">
        <v>83</v>
      </c>
      <c r="M13" s="17" t="n">
        <v>29.3</v>
      </c>
      <c r="N13" s="17"/>
      <c r="O13" s="17"/>
    </row>
    <row r="14" customFormat="false" ht="15" hidden="false" customHeight="false" outlineLevel="0" collapsed="false">
      <c r="A14" s="17" t="s">
        <v>227</v>
      </c>
      <c r="B14" s="18" t="s">
        <v>91</v>
      </c>
      <c r="C14" s="18" t="s">
        <v>12</v>
      </c>
      <c r="D14" s="17" t="s">
        <v>228</v>
      </c>
      <c r="E14" s="20" t="s">
        <v>24</v>
      </c>
      <c r="F14" s="17"/>
      <c r="G14" s="17" t="s">
        <v>205</v>
      </c>
      <c r="H14" s="17" t="s">
        <v>206</v>
      </c>
      <c r="I14" s="17"/>
      <c r="J14" s="17"/>
      <c r="K14" s="17" t="s">
        <v>57</v>
      </c>
      <c r="L14" s="17" t="n">
        <v>83</v>
      </c>
      <c r="M14" s="17" t="n">
        <v>28.7</v>
      </c>
      <c r="N14" s="17"/>
      <c r="O14" s="17"/>
    </row>
    <row r="15" customFormat="false" ht="15" hidden="false" customHeight="false" outlineLevel="0" collapsed="false">
      <c r="A15" s="17" t="s">
        <v>229</v>
      </c>
      <c r="B15" s="18" t="s">
        <v>91</v>
      </c>
      <c r="C15" s="18" t="s">
        <v>12</v>
      </c>
      <c r="D15" s="17" t="s">
        <v>230</v>
      </c>
      <c r="E15" s="20" t="s">
        <v>24</v>
      </c>
      <c r="F15" s="17"/>
      <c r="G15" s="17" t="s">
        <v>205</v>
      </c>
      <c r="H15" s="17" t="s">
        <v>206</v>
      </c>
      <c r="I15" s="17"/>
      <c r="J15" s="17"/>
      <c r="K15" s="17" t="s">
        <v>57</v>
      </c>
      <c r="L15" s="17" t="n">
        <v>83</v>
      </c>
      <c r="M15" s="17" t="n">
        <v>30</v>
      </c>
      <c r="N15" s="17"/>
      <c r="O15" s="17"/>
    </row>
    <row r="16" customFormat="false" ht="23.85" hidden="false" customHeight="false" outlineLevel="0" collapsed="false">
      <c r="A16" s="17" t="s">
        <v>231</v>
      </c>
      <c r="B16" s="18" t="s">
        <v>91</v>
      </c>
      <c r="C16" s="18" t="s">
        <v>12</v>
      </c>
      <c r="D16" s="17" t="s">
        <v>232</v>
      </c>
      <c r="E16" s="20" t="s">
        <v>24</v>
      </c>
      <c r="F16" s="17"/>
      <c r="G16" s="17" t="s">
        <v>205</v>
      </c>
      <c r="H16" s="17" t="s">
        <v>206</v>
      </c>
      <c r="I16" s="17"/>
      <c r="J16" s="17"/>
      <c r="K16" s="17" t="s">
        <v>57</v>
      </c>
      <c r="L16" s="17" t="n">
        <v>83</v>
      </c>
      <c r="M16" s="17" t="n">
        <v>27.4</v>
      </c>
      <c r="N16" s="17"/>
      <c r="O16" s="17"/>
    </row>
    <row r="17" customFormat="false" ht="23.85" hidden="false" customHeight="false" outlineLevel="0" collapsed="false">
      <c r="A17" s="17" t="s">
        <v>233</v>
      </c>
      <c r="B17" s="18" t="s">
        <v>91</v>
      </c>
      <c r="C17" s="18" t="s">
        <v>12</v>
      </c>
      <c r="D17" s="17" t="s">
        <v>234</v>
      </c>
      <c r="E17" s="20" t="s">
        <v>24</v>
      </c>
      <c r="F17" s="17"/>
      <c r="G17" s="17" t="s">
        <v>205</v>
      </c>
      <c r="H17" s="17" t="s">
        <v>206</v>
      </c>
      <c r="I17" s="17"/>
      <c r="J17" s="17"/>
      <c r="K17" s="17" t="s">
        <v>57</v>
      </c>
      <c r="L17" s="17" t="n">
        <v>83</v>
      </c>
      <c r="M17" s="17" t="n">
        <v>27.2</v>
      </c>
      <c r="N17" s="17"/>
      <c r="O17" s="17"/>
    </row>
    <row r="18" customFormat="false" ht="15" hidden="false" customHeight="false" outlineLevel="0" collapsed="false">
      <c r="A18" s="17" t="s">
        <v>235</v>
      </c>
      <c r="B18" s="18" t="s">
        <v>91</v>
      </c>
      <c r="C18" s="18" t="s">
        <v>12</v>
      </c>
      <c r="D18" s="17" t="s">
        <v>236</v>
      </c>
      <c r="E18" s="20" t="s">
        <v>24</v>
      </c>
      <c r="F18" s="17"/>
      <c r="G18" s="17" t="s">
        <v>237</v>
      </c>
      <c r="H18" s="17" t="s">
        <v>206</v>
      </c>
      <c r="I18" s="18" t="s">
        <v>238</v>
      </c>
      <c r="J18" s="17" t="s">
        <v>188</v>
      </c>
      <c r="K18" s="17" t="s">
        <v>63</v>
      </c>
      <c r="L18" s="17" t="n">
        <v>27</v>
      </c>
      <c r="M18" s="17" t="n">
        <v>6</v>
      </c>
      <c r="N18" s="17"/>
      <c r="O18" s="17"/>
    </row>
    <row r="19" customFormat="false" ht="23.85" hidden="false" customHeight="false" outlineLevel="0" collapsed="false">
      <c r="A19" s="17" t="s">
        <v>184</v>
      </c>
      <c r="B19" s="18" t="s">
        <v>91</v>
      </c>
      <c r="C19" s="18" t="s">
        <v>12</v>
      </c>
      <c r="D19" s="17" t="s">
        <v>239</v>
      </c>
      <c r="E19" s="20" t="s">
        <v>24</v>
      </c>
      <c r="F19" s="17"/>
      <c r="G19" s="17" t="s">
        <v>240</v>
      </c>
      <c r="H19" s="17" t="s">
        <v>206</v>
      </c>
      <c r="I19" s="18" t="s">
        <v>187</v>
      </c>
      <c r="J19" s="17" t="s">
        <v>188</v>
      </c>
      <c r="K19" s="17" t="s">
        <v>63</v>
      </c>
      <c r="L19" s="17" t="n">
        <v>161</v>
      </c>
      <c r="M19" s="17" t="n">
        <v>29.1</v>
      </c>
      <c r="N19" s="17"/>
      <c r="O19" s="17"/>
    </row>
    <row r="20" customFormat="false" ht="15" hidden="false" customHeight="false" outlineLevel="0" collapsed="false">
      <c r="A20" s="17" t="s">
        <v>241</v>
      </c>
      <c r="B20" s="18" t="s">
        <v>91</v>
      </c>
      <c r="C20" s="18" t="s">
        <v>12</v>
      </c>
      <c r="D20" s="17" t="s">
        <v>242</v>
      </c>
      <c r="E20" s="20" t="s">
        <v>24</v>
      </c>
      <c r="F20" s="17"/>
      <c r="G20" s="17" t="s">
        <v>243</v>
      </c>
      <c r="H20" s="17" t="s">
        <v>206</v>
      </c>
      <c r="I20" s="18" t="s">
        <v>244</v>
      </c>
      <c r="J20" s="17" t="s">
        <v>188</v>
      </c>
      <c r="K20" s="17" t="s">
        <v>65</v>
      </c>
      <c r="L20" s="17" t="n">
        <v>137</v>
      </c>
      <c r="M20" s="17" t="n">
        <v>9.3</v>
      </c>
      <c r="N20" s="17"/>
      <c r="O20" s="17"/>
    </row>
    <row r="21" customFormat="false" ht="15" hidden="false" customHeight="false" outlineLevel="0" collapsed="false">
      <c r="A21" s="17" t="s">
        <v>245</v>
      </c>
      <c r="B21" s="18" t="s">
        <v>91</v>
      </c>
      <c r="C21" s="18" t="s">
        <v>12</v>
      </c>
      <c r="D21" s="17" t="s">
        <v>246</v>
      </c>
      <c r="E21" s="20" t="s">
        <v>24</v>
      </c>
      <c r="F21" s="17"/>
      <c r="G21" s="17" t="s">
        <v>247</v>
      </c>
      <c r="H21" s="17" t="s">
        <v>206</v>
      </c>
      <c r="I21" s="18" t="s">
        <v>248</v>
      </c>
      <c r="J21" s="17" t="s">
        <v>249</v>
      </c>
      <c r="K21" s="17" t="s">
        <v>65</v>
      </c>
      <c r="L21" s="17" t="n">
        <v>150</v>
      </c>
      <c r="M21" s="17" t="n">
        <v>9.9</v>
      </c>
      <c r="N21" s="17"/>
      <c r="O21" s="17"/>
    </row>
    <row r="22" customFormat="false" ht="15" hidden="false" customHeight="false" outlineLevel="0" collapsed="false">
      <c r="A22" s="17" t="s">
        <v>250</v>
      </c>
      <c r="B22" s="18" t="s">
        <v>91</v>
      </c>
      <c r="C22" s="18" t="s">
        <v>12</v>
      </c>
      <c r="D22" s="17" t="s">
        <v>251</v>
      </c>
      <c r="E22" s="20" t="s">
        <v>24</v>
      </c>
      <c r="F22" s="17"/>
      <c r="G22" s="17" t="s">
        <v>252</v>
      </c>
      <c r="H22" s="17" t="s">
        <v>206</v>
      </c>
      <c r="I22" s="18" t="s">
        <v>253</v>
      </c>
      <c r="J22" s="17" t="s">
        <v>188</v>
      </c>
      <c r="K22" s="17" t="s">
        <v>65</v>
      </c>
      <c r="L22" s="17" t="n">
        <v>163</v>
      </c>
      <c r="M22" s="17" t="n">
        <v>9.1</v>
      </c>
      <c r="N22" s="17"/>
      <c r="O22" s="17"/>
    </row>
    <row r="23" customFormat="false" ht="15" hidden="false" customHeight="false" outlineLevel="0" collapsed="false">
      <c r="A23" s="17" t="s">
        <v>254</v>
      </c>
      <c r="B23" s="18" t="s">
        <v>91</v>
      </c>
      <c r="C23" s="18" t="s">
        <v>12</v>
      </c>
      <c r="D23" s="17" t="s">
        <v>255</v>
      </c>
      <c r="E23" s="20" t="s">
        <v>24</v>
      </c>
      <c r="F23" s="17"/>
      <c r="G23" s="17" t="s">
        <v>256</v>
      </c>
      <c r="H23" s="17" t="s">
        <v>206</v>
      </c>
      <c r="I23" s="18" t="s">
        <v>257</v>
      </c>
      <c r="J23" s="17" t="s">
        <v>188</v>
      </c>
      <c r="K23" s="17" t="s">
        <v>66</v>
      </c>
      <c r="L23" s="17" t="n">
        <v>159</v>
      </c>
      <c r="M23" s="17" t="n">
        <v>9.4</v>
      </c>
      <c r="N23" s="17"/>
      <c r="O23" s="17"/>
    </row>
  </sheetData>
  <autoFilter ref="A2:M23"/>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I18" r:id="rId33" display="SV-10320"/>
    <hyperlink ref="B19" r:id="rId34" display="Open case"/>
    <hyperlink ref="C19" r:id="rId35" display="Run 415"/>
    <hyperlink ref="I19" r:id="rId36" display="SV-10340"/>
    <hyperlink ref="B20" r:id="rId37" display="Open case"/>
    <hyperlink ref="C20" r:id="rId38" display="Run 415"/>
    <hyperlink ref="I20" r:id="rId39" display="SV-10001"/>
    <hyperlink ref="B21" r:id="rId40" display="Open case"/>
    <hyperlink ref="C21" r:id="rId41" display="Run 415"/>
    <hyperlink ref="I21" r:id="rId42" display="SV-10055"/>
    <hyperlink ref="B22" r:id="rId43" display="Open case"/>
    <hyperlink ref="C22" r:id="rId44" display="Run 415"/>
    <hyperlink ref="I22" r:id="rId45" display="SV-10060"/>
    <hyperlink ref="B23" r:id="rId46" display="Open case"/>
    <hyperlink ref="C23" r:id="rId47" display="Run 415"/>
    <hyperlink ref="I23" r:id="rId48" display="SV-1002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845</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23.85" hidden="false" customHeight="false" outlineLevel="0" collapsed="false">
      <c r="A3" s="17" t="s">
        <v>258</v>
      </c>
      <c r="B3" s="18" t="s">
        <v>91</v>
      </c>
      <c r="C3" s="18" t="s">
        <v>12</v>
      </c>
      <c r="D3" s="17" t="s">
        <v>259</v>
      </c>
      <c r="E3" s="22" t="s">
        <v>26</v>
      </c>
      <c r="F3" s="17"/>
      <c r="G3" s="17" t="s">
        <v>260</v>
      </c>
      <c r="H3" s="17" t="s">
        <v>261</v>
      </c>
      <c r="I3" s="18" t="s">
        <v>238</v>
      </c>
      <c r="J3" s="17" t="s">
        <v>188</v>
      </c>
      <c r="K3" s="17" t="s">
        <v>60</v>
      </c>
      <c r="L3" s="17" t="n">
        <v>83</v>
      </c>
      <c r="M3" s="17" t="n">
        <v>6.9</v>
      </c>
      <c r="N3" s="17"/>
      <c r="O3" s="17"/>
    </row>
  </sheetData>
  <autoFilter ref="A2:M3"/>
  <mergeCells count="1">
    <mergeCell ref="A1:O1"/>
  </mergeCells>
  <hyperlinks>
    <hyperlink ref="B3" r:id="rId1" display="Open case"/>
    <hyperlink ref="C3" r:id="rId2" display="Run 415"/>
    <hyperlink ref="I3" r:id="rId3" display="SV-103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846</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35.05" hidden="false" customHeight="false" outlineLevel="0" collapsed="false">
      <c r="A3" s="17" t="s">
        <v>262</v>
      </c>
      <c r="B3" s="18" t="s">
        <v>91</v>
      </c>
      <c r="C3" s="18" t="s">
        <v>12</v>
      </c>
      <c r="D3" s="17" t="s">
        <v>263</v>
      </c>
      <c r="E3" s="23" t="s">
        <v>28</v>
      </c>
      <c r="F3" s="17"/>
      <c r="G3" s="17" t="s">
        <v>264</v>
      </c>
      <c r="H3" s="17" t="s">
        <v>265</v>
      </c>
      <c r="I3" s="17"/>
      <c r="J3" s="17"/>
      <c r="K3" s="17" t="s">
        <v>56</v>
      </c>
      <c r="L3" s="17" t="n">
        <v>267</v>
      </c>
      <c r="M3" s="17" t="n">
        <v>8.8</v>
      </c>
      <c r="N3" s="17"/>
      <c r="O3" s="17"/>
    </row>
    <row r="4" customFormat="false" ht="23.85" hidden="false" customHeight="false" outlineLevel="0" collapsed="false">
      <c r="A4" s="17" t="s">
        <v>266</v>
      </c>
      <c r="B4" s="18" t="s">
        <v>91</v>
      </c>
      <c r="C4" s="18" t="s">
        <v>12</v>
      </c>
      <c r="D4" s="17" t="s">
        <v>267</v>
      </c>
      <c r="E4" s="23" t="s">
        <v>28</v>
      </c>
      <c r="F4" s="17"/>
      <c r="G4" s="17" t="s">
        <v>268</v>
      </c>
      <c r="H4" s="17" t="s">
        <v>265</v>
      </c>
      <c r="I4" s="17"/>
      <c r="J4" s="17"/>
      <c r="K4" s="17" t="s">
        <v>58</v>
      </c>
      <c r="L4" s="17" t="n">
        <v>214</v>
      </c>
      <c r="M4" s="17" t="n">
        <v>16</v>
      </c>
      <c r="N4" s="17"/>
      <c r="O4" s="17"/>
    </row>
    <row r="5" customFormat="false" ht="46.25" hidden="false" customHeight="false" outlineLevel="0" collapsed="false">
      <c r="A5" s="17" t="s">
        <v>269</v>
      </c>
      <c r="B5" s="18" t="s">
        <v>91</v>
      </c>
      <c r="C5" s="18" t="s">
        <v>12</v>
      </c>
      <c r="D5" s="17" t="s">
        <v>270</v>
      </c>
      <c r="E5" s="23" t="s">
        <v>28</v>
      </c>
      <c r="F5" s="17"/>
      <c r="G5" s="17" t="s">
        <v>271</v>
      </c>
      <c r="H5" s="17" t="s">
        <v>265</v>
      </c>
      <c r="I5" s="17"/>
      <c r="J5" s="17"/>
      <c r="K5" s="17" t="s">
        <v>59</v>
      </c>
      <c r="L5" s="17" t="n">
        <v>403</v>
      </c>
      <c r="M5" s="17" t="n">
        <v>9.8</v>
      </c>
      <c r="N5" s="17"/>
      <c r="O5" s="17"/>
    </row>
    <row r="6" customFormat="false" ht="46.25" hidden="false" customHeight="false" outlineLevel="0" collapsed="false">
      <c r="A6" s="17" t="s">
        <v>272</v>
      </c>
      <c r="B6" s="18" t="s">
        <v>91</v>
      </c>
      <c r="C6" s="18" t="s">
        <v>12</v>
      </c>
      <c r="D6" s="17" t="s">
        <v>273</v>
      </c>
      <c r="E6" s="23" t="s">
        <v>28</v>
      </c>
      <c r="F6" s="17"/>
      <c r="G6" s="17" t="s">
        <v>274</v>
      </c>
      <c r="H6" s="17" t="s">
        <v>265</v>
      </c>
      <c r="I6" s="17"/>
      <c r="J6" s="17"/>
      <c r="K6" s="17" t="s">
        <v>59</v>
      </c>
      <c r="L6" s="17" t="n">
        <v>403</v>
      </c>
      <c r="M6" s="17" t="n">
        <v>9.7</v>
      </c>
      <c r="N6" s="17"/>
      <c r="O6" s="17"/>
    </row>
    <row r="7" customFormat="false" ht="46.25" hidden="false" customHeight="false" outlineLevel="0" collapsed="false">
      <c r="A7" s="17" t="s">
        <v>275</v>
      </c>
      <c r="B7" s="18" t="s">
        <v>91</v>
      </c>
      <c r="C7" s="18" t="s">
        <v>12</v>
      </c>
      <c r="D7" s="17" t="s">
        <v>276</v>
      </c>
      <c r="E7" s="23" t="s">
        <v>28</v>
      </c>
      <c r="F7" s="17"/>
      <c r="G7" s="17" t="s">
        <v>277</v>
      </c>
      <c r="H7" s="17" t="s">
        <v>265</v>
      </c>
      <c r="I7" s="17"/>
      <c r="J7" s="17"/>
      <c r="K7" s="17" t="s">
        <v>59</v>
      </c>
      <c r="L7" s="17" t="n">
        <v>403</v>
      </c>
      <c r="M7" s="17" t="n">
        <v>9.8</v>
      </c>
      <c r="N7" s="17"/>
      <c r="O7" s="17"/>
    </row>
    <row r="8" customFormat="false" ht="46.25" hidden="false" customHeight="false" outlineLevel="0" collapsed="false">
      <c r="A8" s="17" t="s">
        <v>278</v>
      </c>
      <c r="B8" s="18" t="s">
        <v>91</v>
      </c>
      <c r="C8" s="18" t="s">
        <v>12</v>
      </c>
      <c r="D8" s="17" t="s">
        <v>279</v>
      </c>
      <c r="E8" s="23" t="s">
        <v>28</v>
      </c>
      <c r="F8" s="17"/>
      <c r="G8" s="17" t="s">
        <v>280</v>
      </c>
      <c r="H8" s="17" t="s">
        <v>265</v>
      </c>
      <c r="I8" s="17"/>
      <c r="J8" s="17"/>
      <c r="K8" s="17" t="s">
        <v>59</v>
      </c>
      <c r="L8" s="17" t="n">
        <v>403</v>
      </c>
      <c r="M8" s="17" t="n">
        <v>9.8</v>
      </c>
      <c r="N8" s="17"/>
      <c r="O8" s="17"/>
    </row>
    <row r="9" customFormat="false" ht="46.25" hidden="false" customHeight="false" outlineLevel="0" collapsed="false">
      <c r="A9" s="17" t="s">
        <v>281</v>
      </c>
      <c r="B9" s="18" t="s">
        <v>91</v>
      </c>
      <c r="C9" s="18" t="s">
        <v>12</v>
      </c>
      <c r="D9" s="17" t="s">
        <v>282</v>
      </c>
      <c r="E9" s="23" t="s">
        <v>28</v>
      </c>
      <c r="F9" s="17"/>
      <c r="G9" s="17" t="s">
        <v>283</v>
      </c>
      <c r="H9" s="17" t="s">
        <v>265</v>
      </c>
      <c r="I9" s="17"/>
      <c r="J9" s="17"/>
      <c r="K9" s="17" t="s">
        <v>59</v>
      </c>
      <c r="L9" s="17" t="n">
        <v>403</v>
      </c>
      <c r="M9" s="17" t="n">
        <v>9.8</v>
      </c>
      <c r="N9" s="17"/>
      <c r="O9" s="17"/>
    </row>
    <row r="10" customFormat="false" ht="46.25" hidden="false" customHeight="false" outlineLevel="0" collapsed="false">
      <c r="A10" s="17" t="s">
        <v>284</v>
      </c>
      <c r="B10" s="18" t="s">
        <v>91</v>
      </c>
      <c r="C10" s="18" t="s">
        <v>12</v>
      </c>
      <c r="D10" s="17" t="s">
        <v>285</v>
      </c>
      <c r="E10" s="23" t="s">
        <v>28</v>
      </c>
      <c r="F10" s="17"/>
      <c r="G10" s="17" t="s">
        <v>286</v>
      </c>
      <c r="H10" s="17" t="s">
        <v>265</v>
      </c>
      <c r="I10" s="17"/>
      <c r="J10" s="17"/>
      <c r="K10" s="17" t="s">
        <v>59</v>
      </c>
      <c r="L10" s="17" t="n">
        <v>403</v>
      </c>
      <c r="M10" s="17" t="n">
        <v>9.8</v>
      </c>
      <c r="N10" s="17"/>
      <c r="O10" s="17"/>
    </row>
    <row r="11" customFormat="false" ht="23.85" hidden="false" customHeight="false" outlineLevel="0" collapsed="false">
      <c r="A11" s="17" t="s">
        <v>287</v>
      </c>
      <c r="B11" s="18" t="s">
        <v>91</v>
      </c>
      <c r="C11" s="18" t="s">
        <v>12</v>
      </c>
      <c r="D11" s="17" t="s">
        <v>288</v>
      </c>
      <c r="E11" s="23" t="s">
        <v>28</v>
      </c>
      <c r="F11" s="17"/>
      <c r="G11" s="17" t="s">
        <v>289</v>
      </c>
      <c r="H11" s="17" t="s">
        <v>265</v>
      </c>
      <c r="I11" s="17"/>
      <c r="J11" s="17"/>
      <c r="K11" s="17" t="s">
        <v>60</v>
      </c>
      <c r="L11" s="17" t="n">
        <v>158</v>
      </c>
      <c r="M11" s="17" t="n">
        <v>0</v>
      </c>
      <c r="N11" s="17"/>
      <c r="O11" s="17"/>
    </row>
    <row r="12" customFormat="false" ht="23.85" hidden="false" customHeight="false" outlineLevel="0" collapsed="false">
      <c r="A12" s="17" t="s">
        <v>290</v>
      </c>
      <c r="B12" s="18" t="s">
        <v>91</v>
      </c>
      <c r="C12" s="18" t="s">
        <v>12</v>
      </c>
      <c r="D12" s="17" t="s">
        <v>291</v>
      </c>
      <c r="E12" s="23" t="s">
        <v>28</v>
      </c>
      <c r="F12" s="17"/>
      <c r="G12" s="17" t="s">
        <v>292</v>
      </c>
      <c r="H12" s="17" t="s">
        <v>265</v>
      </c>
      <c r="I12" s="17"/>
      <c r="J12" s="17"/>
      <c r="K12" s="17" t="s">
        <v>63</v>
      </c>
      <c r="L12" s="17" t="n">
        <v>79</v>
      </c>
      <c r="M12" s="17" t="n">
        <v>9.2</v>
      </c>
      <c r="N12" s="17"/>
      <c r="O12" s="17"/>
    </row>
    <row r="13" customFormat="false" ht="23.85" hidden="false" customHeight="false" outlineLevel="0" collapsed="false">
      <c r="A13" s="17" t="s">
        <v>293</v>
      </c>
      <c r="B13" s="18" t="s">
        <v>91</v>
      </c>
      <c r="C13" s="18" t="s">
        <v>12</v>
      </c>
      <c r="D13" s="17" t="s">
        <v>294</v>
      </c>
      <c r="E13" s="23" t="s">
        <v>28</v>
      </c>
      <c r="F13" s="17"/>
      <c r="G13" s="17" t="s">
        <v>295</v>
      </c>
      <c r="H13" s="17" t="s">
        <v>265</v>
      </c>
      <c r="I13" s="17"/>
      <c r="J13" s="17"/>
      <c r="K13" s="17" t="s">
        <v>64</v>
      </c>
      <c r="L13" s="17" t="n">
        <v>115</v>
      </c>
      <c r="M13" s="17" t="n">
        <v>0</v>
      </c>
      <c r="N13" s="17"/>
      <c r="O13" s="17"/>
    </row>
    <row r="14" customFormat="false" ht="23.85" hidden="false" customHeight="false" outlineLevel="0" collapsed="false">
      <c r="A14" s="17" t="s">
        <v>296</v>
      </c>
      <c r="B14" s="18" t="s">
        <v>91</v>
      </c>
      <c r="C14" s="18" t="s">
        <v>12</v>
      </c>
      <c r="D14" s="17" t="s">
        <v>297</v>
      </c>
      <c r="E14" s="23" t="s">
        <v>28</v>
      </c>
      <c r="F14" s="17"/>
      <c r="G14" s="17" t="s">
        <v>295</v>
      </c>
      <c r="H14" s="17" t="s">
        <v>265</v>
      </c>
      <c r="I14" s="17"/>
      <c r="J14" s="17"/>
      <c r="K14" s="17" t="s">
        <v>64</v>
      </c>
      <c r="L14" s="17" t="n">
        <v>115</v>
      </c>
      <c r="M14" s="17" t="n">
        <v>0</v>
      </c>
      <c r="N14" s="17"/>
      <c r="O14" s="17"/>
    </row>
    <row r="15" customFormat="false" ht="23.85" hidden="false" customHeight="false" outlineLevel="0" collapsed="false">
      <c r="A15" s="17" t="s">
        <v>298</v>
      </c>
      <c r="B15" s="18" t="s">
        <v>91</v>
      </c>
      <c r="C15" s="18" t="s">
        <v>12</v>
      </c>
      <c r="D15" s="17" t="s">
        <v>299</v>
      </c>
      <c r="E15" s="23" t="s">
        <v>28</v>
      </c>
      <c r="F15" s="17"/>
      <c r="G15" s="17" t="s">
        <v>300</v>
      </c>
      <c r="H15" s="17" t="s">
        <v>265</v>
      </c>
      <c r="I15" s="17"/>
      <c r="J15" s="17"/>
      <c r="K15" s="17" t="s">
        <v>64</v>
      </c>
      <c r="L15" s="17" t="n">
        <v>115</v>
      </c>
      <c r="M15" s="17" t="n">
        <v>0</v>
      </c>
      <c r="N15" s="17"/>
      <c r="O15" s="17"/>
    </row>
    <row r="16" customFormat="false" ht="23.85" hidden="false" customHeight="false" outlineLevel="0" collapsed="false">
      <c r="A16" s="17" t="s">
        <v>301</v>
      </c>
      <c r="B16" s="18" t="s">
        <v>91</v>
      </c>
      <c r="C16" s="18" t="s">
        <v>12</v>
      </c>
      <c r="D16" s="17" t="s">
        <v>302</v>
      </c>
      <c r="E16" s="23" t="s">
        <v>28</v>
      </c>
      <c r="F16" s="17"/>
      <c r="G16" s="17" t="s">
        <v>303</v>
      </c>
      <c r="H16" s="17" t="s">
        <v>265</v>
      </c>
      <c r="I16" s="17"/>
      <c r="J16" s="17"/>
      <c r="K16" s="17" t="s">
        <v>64</v>
      </c>
      <c r="L16" s="17" t="n">
        <v>174</v>
      </c>
      <c r="M16" s="17" t="n">
        <v>0</v>
      </c>
      <c r="N16" s="17"/>
      <c r="O16" s="17"/>
    </row>
    <row r="17" customFormat="false" ht="23.85" hidden="false" customHeight="false" outlineLevel="0" collapsed="false">
      <c r="A17" s="17" t="s">
        <v>304</v>
      </c>
      <c r="B17" s="18" t="s">
        <v>91</v>
      </c>
      <c r="C17" s="18" t="s">
        <v>12</v>
      </c>
      <c r="D17" s="17" t="s">
        <v>305</v>
      </c>
      <c r="E17" s="23" t="s">
        <v>28</v>
      </c>
      <c r="F17" s="17"/>
      <c r="G17" s="17" t="s">
        <v>306</v>
      </c>
      <c r="H17" s="17" t="s">
        <v>265</v>
      </c>
      <c r="I17" s="17"/>
      <c r="J17" s="17"/>
      <c r="K17" s="17" t="s">
        <v>64</v>
      </c>
      <c r="L17" s="17" t="n">
        <v>205</v>
      </c>
      <c r="M17" s="17" t="n">
        <v>0</v>
      </c>
      <c r="N17" s="17"/>
      <c r="O17" s="17"/>
    </row>
    <row r="18" customFormat="false" ht="23.85" hidden="false" customHeight="false" outlineLevel="0" collapsed="false">
      <c r="A18" s="17" t="s">
        <v>307</v>
      </c>
      <c r="B18" s="18" t="s">
        <v>91</v>
      </c>
      <c r="C18" s="18" t="s">
        <v>12</v>
      </c>
      <c r="D18" s="17" t="s">
        <v>308</v>
      </c>
      <c r="E18" s="23" t="s">
        <v>28</v>
      </c>
      <c r="F18" s="17"/>
      <c r="G18" s="17" t="s">
        <v>309</v>
      </c>
      <c r="H18" s="17" t="s">
        <v>265</v>
      </c>
      <c r="I18" s="17"/>
      <c r="J18" s="17"/>
      <c r="K18" s="17" t="s">
        <v>64</v>
      </c>
      <c r="L18" s="17" t="n">
        <v>205</v>
      </c>
      <c r="M18" s="17" t="n">
        <v>0</v>
      </c>
      <c r="N18" s="17"/>
      <c r="O18" s="17"/>
    </row>
    <row r="19" customFormat="false" ht="23.85" hidden="false" customHeight="false" outlineLevel="0" collapsed="false">
      <c r="A19" s="17" t="s">
        <v>310</v>
      </c>
      <c r="B19" s="18" t="s">
        <v>91</v>
      </c>
      <c r="C19" s="18" t="s">
        <v>12</v>
      </c>
      <c r="D19" s="17" t="s">
        <v>311</v>
      </c>
      <c r="E19" s="23" t="s">
        <v>28</v>
      </c>
      <c r="F19" s="17"/>
      <c r="G19" s="17" t="s">
        <v>312</v>
      </c>
      <c r="H19" s="17" t="s">
        <v>265</v>
      </c>
      <c r="I19" s="17"/>
      <c r="J19" s="17"/>
      <c r="K19" s="17" t="s">
        <v>64</v>
      </c>
      <c r="L19" s="17" t="n">
        <v>205</v>
      </c>
      <c r="M19" s="17" t="n">
        <v>0</v>
      </c>
      <c r="N19" s="17"/>
      <c r="O19" s="17"/>
    </row>
    <row r="20" customFormat="false" ht="23.85" hidden="false" customHeight="false" outlineLevel="0" collapsed="false">
      <c r="A20" s="17" t="s">
        <v>313</v>
      </c>
      <c r="B20" s="18" t="s">
        <v>91</v>
      </c>
      <c r="C20" s="18" t="s">
        <v>12</v>
      </c>
      <c r="D20" s="17" t="s">
        <v>314</v>
      </c>
      <c r="E20" s="23" t="s">
        <v>28</v>
      </c>
      <c r="F20" s="17"/>
      <c r="G20" s="17" t="s">
        <v>309</v>
      </c>
      <c r="H20" s="17" t="s">
        <v>265</v>
      </c>
      <c r="I20" s="17"/>
      <c r="J20" s="17"/>
      <c r="K20" s="17" t="s">
        <v>64</v>
      </c>
      <c r="L20" s="17" t="n">
        <v>205</v>
      </c>
      <c r="M20" s="17" t="n">
        <v>0</v>
      </c>
      <c r="N20" s="17"/>
      <c r="O20" s="17"/>
    </row>
    <row r="21" customFormat="false" ht="23.85" hidden="false" customHeight="false" outlineLevel="0" collapsed="false">
      <c r="A21" s="17" t="s">
        <v>315</v>
      </c>
      <c r="B21" s="18" t="s">
        <v>91</v>
      </c>
      <c r="C21" s="18" t="s">
        <v>12</v>
      </c>
      <c r="D21" s="17" t="s">
        <v>316</v>
      </c>
      <c r="E21" s="23" t="s">
        <v>28</v>
      </c>
      <c r="F21" s="17"/>
      <c r="G21" s="17" t="s">
        <v>317</v>
      </c>
      <c r="H21" s="17" t="s">
        <v>265</v>
      </c>
      <c r="I21" s="17"/>
      <c r="J21" s="17"/>
      <c r="K21" s="17" t="s">
        <v>64</v>
      </c>
      <c r="L21" s="17" t="n">
        <v>269</v>
      </c>
      <c r="M21" s="17" t="n">
        <v>0</v>
      </c>
      <c r="N21" s="17"/>
      <c r="O21" s="17"/>
    </row>
    <row r="22" customFormat="false" ht="35.05" hidden="false" customHeight="false" outlineLevel="0" collapsed="false">
      <c r="A22" s="17" t="s">
        <v>318</v>
      </c>
      <c r="B22" s="18" t="s">
        <v>91</v>
      </c>
      <c r="C22" s="18" t="s">
        <v>12</v>
      </c>
      <c r="D22" s="17" t="s">
        <v>319</v>
      </c>
      <c r="E22" s="23" t="s">
        <v>28</v>
      </c>
      <c r="F22" s="17"/>
      <c r="G22" s="17" t="s">
        <v>320</v>
      </c>
      <c r="H22" s="17" t="s">
        <v>265</v>
      </c>
      <c r="I22" s="17"/>
      <c r="J22" s="17"/>
      <c r="K22" s="17" t="s">
        <v>65</v>
      </c>
      <c r="L22" s="17" t="n">
        <v>61</v>
      </c>
      <c r="M22" s="17" t="n">
        <v>9.5</v>
      </c>
      <c r="N22" s="17"/>
      <c r="O22" s="17"/>
    </row>
    <row r="23" customFormat="false" ht="35.05" hidden="false" customHeight="false" outlineLevel="0" collapsed="false">
      <c r="A23" s="17" t="s">
        <v>321</v>
      </c>
      <c r="B23" s="18" t="s">
        <v>91</v>
      </c>
      <c r="C23" s="18" t="s">
        <v>12</v>
      </c>
      <c r="D23" s="17" t="s">
        <v>322</v>
      </c>
      <c r="E23" s="23" t="s">
        <v>28</v>
      </c>
      <c r="F23" s="17"/>
      <c r="G23" s="17" t="s">
        <v>323</v>
      </c>
      <c r="H23" s="17" t="s">
        <v>265</v>
      </c>
      <c r="I23" s="17"/>
      <c r="J23" s="17"/>
      <c r="K23" s="17" t="s">
        <v>65</v>
      </c>
      <c r="L23" s="17" t="n">
        <v>61</v>
      </c>
      <c r="M23" s="17" t="n">
        <v>10.4</v>
      </c>
      <c r="N23" s="17"/>
      <c r="O23" s="17"/>
    </row>
    <row r="24" customFormat="false" ht="35.05" hidden="false" customHeight="false" outlineLevel="0" collapsed="false">
      <c r="A24" s="17" t="s">
        <v>324</v>
      </c>
      <c r="B24" s="18" t="s">
        <v>91</v>
      </c>
      <c r="C24" s="18" t="s">
        <v>12</v>
      </c>
      <c r="D24" s="17" t="s">
        <v>325</v>
      </c>
      <c r="E24" s="23" t="s">
        <v>28</v>
      </c>
      <c r="F24" s="17"/>
      <c r="G24" s="17" t="s">
        <v>326</v>
      </c>
      <c r="H24" s="17" t="s">
        <v>265</v>
      </c>
      <c r="I24" s="17"/>
      <c r="J24" s="17"/>
      <c r="K24" s="17" t="s">
        <v>65</v>
      </c>
      <c r="L24" s="17" t="n">
        <v>61</v>
      </c>
      <c r="M24" s="17" t="n">
        <v>10.5</v>
      </c>
      <c r="N24" s="17"/>
      <c r="O24" s="17"/>
    </row>
    <row r="25" customFormat="false" ht="35.05" hidden="false" customHeight="false" outlineLevel="0" collapsed="false">
      <c r="A25" s="17" t="s">
        <v>327</v>
      </c>
      <c r="B25" s="18" t="s">
        <v>91</v>
      </c>
      <c r="C25" s="18" t="s">
        <v>12</v>
      </c>
      <c r="D25" s="17" t="s">
        <v>328</v>
      </c>
      <c r="E25" s="23" t="s">
        <v>28</v>
      </c>
      <c r="F25" s="17"/>
      <c r="G25" s="17" t="s">
        <v>329</v>
      </c>
      <c r="H25" s="17" t="s">
        <v>265</v>
      </c>
      <c r="I25" s="17"/>
      <c r="J25" s="17"/>
      <c r="K25" s="17" t="s">
        <v>65</v>
      </c>
      <c r="L25" s="17" t="n">
        <v>61</v>
      </c>
      <c r="M25" s="17" t="n">
        <v>10.3</v>
      </c>
      <c r="N25" s="17"/>
      <c r="O25" s="17"/>
    </row>
    <row r="26" customFormat="false" ht="35.05" hidden="false" customHeight="false" outlineLevel="0" collapsed="false">
      <c r="A26" s="17" t="s">
        <v>330</v>
      </c>
      <c r="B26" s="18" t="s">
        <v>91</v>
      </c>
      <c r="C26" s="18" t="s">
        <v>12</v>
      </c>
      <c r="D26" s="17" t="s">
        <v>331</v>
      </c>
      <c r="E26" s="23" t="s">
        <v>28</v>
      </c>
      <c r="F26" s="17"/>
      <c r="G26" s="17" t="s">
        <v>332</v>
      </c>
      <c r="H26" s="17" t="s">
        <v>265</v>
      </c>
      <c r="I26" s="17"/>
      <c r="J26" s="17"/>
      <c r="K26" s="17" t="s">
        <v>65</v>
      </c>
      <c r="L26" s="17" t="n">
        <v>61</v>
      </c>
      <c r="M26" s="17" t="n">
        <v>10.4</v>
      </c>
      <c r="N26" s="17"/>
      <c r="O26" s="17"/>
    </row>
    <row r="27" customFormat="false" ht="23.85" hidden="false" customHeight="false" outlineLevel="0" collapsed="false">
      <c r="A27" s="17" t="s">
        <v>333</v>
      </c>
      <c r="B27" s="18" t="s">
        <v>91</v>
      </c>
      <c r="C27" s="18" t="s">
        <v>12</v>
      </c>
      <c r="D27" s="17" t="s">
        <v>334</v>
      </c>
      <c r="E27" s="23" t="s">
        <v>28</v>
      </c>
      <c r="F27" s="17"/>
      <c r="G27" s="17" t="s">
        <v>335</v>
      </c>
      <c r="H27" s="17" t="s">
        <v>265</v>
      </c>
      <c r="I27" s="17"/>
      <c r="J27" s="17"/>
      <c r="K27" s="17" t="s">
        <v>65</v>
      </c>
      <c r="L27" s="17" t="n">
        <v>61</v>
      </c>
      <c r="M27" s="17" t="n">
        <v>19.6</v>
      </c>
      <c r="N27" s="17"/>
      <c r="O27" s="17"/>
    </row>
    <row r="28" customFormat="false" ht="35.05" hidden="false" customHeight="false" outlineLevel="0" collapsed="false">
      <c r="A28" s="17" t="s">
        <v>336</v>
      </c>
      <c r="B28" s="18" t="s">
        <v>91</v>
      </c>
      <c r="C28" s="18" t="s">
        <v>12</v>
      </c>
      <c r="D28" s="17" t="s">
        <v>337</v>
      </c>
      <c r="E28" s="23" t="s">
        <v>28</v>
      </c>
      <c r="F28" s="17"/>
      <c r="G28" s="17" t="s">
        <v>338</v>
      </c>
      <c r="H28" s="17" t="s">
        <v>265</v>
      </c>
      <c r="I28" s="17"/>
      <c r="J28" s="17"/>
      <c r="K28" s="17" t="s">
        <v>65</v>
      </c>
      <c r="L28" s="17" t="n">
        <v>61</v>
      </c>
      <c r="M28" s="17" t="n">
        <v>10.4</v>
      </c>
      <c r="N28" s="17"/>
      <c r="O28" s="17"/>
    </row>
    <row r="29" customFormat="false" ht="23.85" hidden="false" customHeight="false" outlineLevel="0" collapsed="false">
      <c r="A29" s="17" t="s">
        <v>339</v>
      </c>
      <c r="B29" s="18" t="s">
        <v>91</v>
      </c>
      <c r="C29" s="18" t="s">
        <v>12</v>
      </c>
      <c r="D29" s="17" t="s">
        <v>340</v>
      </c>
      <c r="E29" s="23" t="s">
        <v>28</v>
      </c>
      <c r="F29" s="17"/>
      <c r="G29" s="17" t="s">
        <v>341</v>
      </c>
      <c r="H29" s="17" t="s">
        <v>265</v>
      </c>
      <c r="I29" s="17"/>
      <c r="J29" s="17"/>
      <c r="K29" s="17" t="s">
        <v>65</v>
      </c>
      <c r="L29" s="17" t="n">
        <v>61</v>
      </c>
      <c r="M29" s="17" t="n">
        <v>18.5</v>
      </c>
      <c r="N29" s="17"/>
      <c r="O29" s="17"/>
    </row>
    <row r="30" customFormat="false" ht="35.05" hidden="false" customHeight="false" outlineLevel="0" collapsed="false">
      <c r="A30" s="17" t="s">
        <v>342</v>
      </c>
      <c r="B30" s="18" t="s">
        <v>91</v>
      </c>
      <c r="C30" s="18" t="s">
        <v>12</v>
      </c>
      <c r="D30" s="17" t="s">
        <v>343</v>
      </c>
      <c r="E30" s="23" t="s">
        <v>28</v>
      </c>
      <c r="F30" s="17"/>
      <c r="G30" s="17" t="s">
        <v>344</v>
      </c>
      <c r="H30" s="17" t="s">
        <v>265</v>
      </c>
      <c r="I30" s="17"/>
      <c r="J30" s="17"/>
      <c r="K30" s="17" t="s">
        <v>65</v>
      </c>
      <c r="L30" s="17" t="n">
        <v>61</v>
      </c>
      <c r="M30" s="17" t="n">
        <v>9.2</v>
      </c>
      <c r="N30" s="17"/>
      <c r="O30" s="17"/>
    </row>
    <row r="31" customFormat="false" ht="35.05" hidden="false" customHeight="false" outlineLevel="0" collapsed="false">
      <c r="A31" s="17" t="s">
        <v>345</v>
      </c>
      <c r="B31" s="18" t="s">
        <v>91</v>
      </c>
      <c r="C31" s="18" t="s">
        <v>12</v>
      </c>
      <c r="D31" s="17" t="s">
        <v>346</v>
      </c>
      <c r="E31" s="23" t="s">
        <v>28</v>
      </c>
      <c r="F31" s="17"/>
      <c r="G31" s="17" t="s">
        <v>347</v>
      </c>
      <c r="H31" s="17" t="s">
        <v>265</v>
      </c>
      <c r="I31" s="17"/>
      <c r="J31" s="17"/>
      <c r="K31" s="17" t="s">
        <v>65</v>
      </c>
      <c r="L31" s="17" t="n">
        <v>61</v>
      </c>
      <c r="M31" s="17" t="n">
        <v>10.4</v>
      </c>
      <c r="N31" s="17"/>
      <c r="O31" s="17"/>
    </row>
    <row r="32" customFormat="false" ht="35.05" hidden="false" customHeight="false" outlineLevel="0" collapsed="false">
      <c r="A32" s="17" t="s">
        <v>348</v>
      </c>
      <c r="B32" s="18" t="s">
        <v>91</v>
      </c>
      <c r="C32" s="18" t="s">
        <v>12</v>
      </c>
      <c r="D32" s="17" t="s">
        <v>349</v>
      </c>
      <c r="E32" s="23" t="s">
        <v>28</v>
      </c>
      <c r="F32" s="17"/>
      <c r="G32" s="17" t="s">
        <v>350</v>
      </c>
      <c r="H32" s="17" t="s">
        <v>265</v>
      </c>
      <c r="I32" s="17"/>
      <c r="J32" s="17"/>
      <c r="K32" s="17" t="s">
        <v>67</v>
      </c>
      <c r="L32" s="17" t="n">
        <v>142</v>
      </c>
      <c r="M32" s="17" t="n">
        <v>0</v>
      </c>
      <c r="N32" s="17"/>
      <c r="O32" s="17"/>
    </row>
    <row r="33" customFormat="false" ht="23.85" hidden="false" customHeight="false" outlineLevel="0" collapsed="false">
      <c r="A33" s="17" t="s">
        <v>351</v>
      </c>
      <c r="B33" s="18" t="s">
        <v>91</v>
      </c>
      <c r="C33" s="18" t="s">
        <v>12</v>
      </c>
      <c r="D33" s="17" t="s">
        <v>352</v>
      </c>
      <c r="E33" s="23" t="s">
        <v>28</v>
      </c>
      <c r="F33" s="17"/>
      <c r="G33" s="17" t="s">
        <v>353</v>
      </c>
      <c r="H33" s="17" t="s">
        <v>265</v>
      </c>
      <c r="I33" s="17"/>
      <c r="J33" s="17"/>
      <c r="K33" s="17" t="s">
        <v>67</v>
      </c>
      <c r="L33" s="17" t="n">
        <v>172</v>
      </c>
      <c r="M33" s="17" t="n">
        <v>0</v>
      </c>
      <c r="N33" s="17"/>
      <c r="O33" s="17"/>
    </row>
    <row r="34" customFormat="false" ht="23.85" hidden="false" customHeight="false" outlineLevel="0" collapsed="false">
      <c r="A34" s="17" t="s">
        <v>354</v>
      </c>
      <c r="B34" s="18" t="s">
        <v>91</v>
      </c>
      <c r="C34" s="18" t="s">
        <v>12</v>
      </c>
      <c r="D34" s="17" t="s">
        <v>355</v>
      </c>
      <c r="E34" s="23" t="s">
        <v>28</v>
      </c>
      <c r="F34" s="17"/>
      <c r="G34" s="17" t="s">
        <v>356</v>
      </c>
      <c r="H34" s="17" t="s">
        <v>265</v>
      </c>
      <c r="I34" s="17"/>
      <c r="J34" s="17"/>
      <c r="K34" s="17" t="s">
        <v>67</v>
      </c>
      <c r="L34" s="17" t="n">
        <v>172</v>
      </c>
      <c r="M34" s="17" t="n">
        <v>0</v>
      </c>
      <c r="N34" s="17"/>
      <c r="O34" s="17"/>
    </row>
    <row r="35" customFormat="false" ht="23.85" hidden="false" customHeight="false" outlineLevel="0" collapsed="false">
      <c r="A35" s="17" t="s">
        <v>357</v>
      </c>
      <c r="B35" s="18" t="s">
        <v>91</v>
      </c>
      <c r="C35" s="18" t="s">
        <v>12</v>
      </c>
      <c r="D35" s="17" t="s">
        <v>358</v>
      </c>
      <c r="E35" s="23" t="s">
        <v>28</v>
      </c>
      <c r="F35" s="17"/>
      <c r="G35" s="17" t="s">
        <v>359</v>
      </c>
      <c r="H35" s="17" t="s">
        <v>265</v>
      </c>
      <c r="I35" s="17"/>
      <c r="J35" s="17"/>
      <c r="K35" s="17" t="s">
        <v>67</v>
      </c>
      <c r="L35" s="17" t="n">
        <v>201</v>
      </c>
      <c r="M35" s="17" t="n">
        <v>6.7</v>
      </c>
      <c r="N35" s="17"/>
      <c r="O35" s="17"/>
    </row>
    <row r="36" customFormat="false" ht="23.85" hidden="false" customHeight="false" outlineLevel="0" collapsed="false">
      <c r="A36" s="17" t="s">
        <v>360</v>
      </c>
      <c r="B36" s="18" t="s">
        <v>91</v>
      </c>
      <c r="C36" s="18" t="s">
        <v>12</v>
      </c>
      <c r="D36" s="17" t="s">
        <v>361</v>
      </c>
      <c r="E36" s="23" t="s">
        <v>28</v>
      </c>
      <c r="F36" s="17"/>
      <c r="G36" s="17" t="s">
        <v>362</v>
      </c>
      <c r="H36" s="17" t="s">
        <v>265</v>
      </c>
      <c r="I36" s="17"/>
      <c r="J36" s="17"/>
      <c r="K36" s="17" t="s">
        <v>67</v>
      </c>
      <c r="L36" s="17" t="n">
        <v>213</v>
      </c>
      <c r="M36" s="17" t="n">
        <v>4</v>
      </c>
      <c r="N36" s="17"/>
      <c r="O36" s="17"/>
    </row>
    <row r="37" customFormat="false" ht="23.85" hidden="false" customHeight="false" outlineLevel="0" collapsed="false">
      <c r="A37" s="17" t="s">
        <v>363</v>
      </c>
      <c r="B37" s="18" t="s">
        <v>91</v>
      </c>
      <c r="C37" s="18" t="s">
        <v>12</v>
      </c>
      <c r="D37" s="17" t="s">
        <v>364</v>
      </c>
      <c r="E37" s="23" t="s">
        <v>28</v>
      </c>
      <c r="F37" s="17"/>
      <c r="G37" s="17" t="s">
        <v>365</v>
      </c>
      <c r="H37" s="17" t="s">
        <v>265</v>
      </c>
      <c r="I37" s="17"/>
      <c r="J37" s="17"/>
      <c r="K37" s="17" t="s">
        <v>67</v>
      </c>
      <c r="L37" s="17" t="n">
        <v>227</v>
      </c>
      <c r="M37" s="17" t="n">
        <v>11.4</v>
      </c>
      <c r="N37" s="17"/>
      <c r="O37" s="17"/>
    </row>
    <row r="38" customFormat="false" ht="23.85" hidden="false" customHeight="false" outlineLevel="0" collapsed="false">
      <c r="A38" s="17" t="s">
        <v>366</v>
      </c>
      <c r="B38" s="18" t="s">
        <v>91</v>
      </c>
      <c r="C38" s="18" t="s">
        <v>12</v>
      </c>
      <c r="D38" s="17" t="s">
        <v>367</v>
      </c>
      <c r="E38" s="23" t="s">
        <v>28</v>
      </c>
      <c r="F38" s="17"/>
      <c r="G38" s="17" t="s">
        <v>368</v>
      </c>
      <c r="H38" s="17" t="s">
        <v>265</v>
      </c>
      <c r="I38" s="17"/>
      <c r="J38" s="17"/>
      <c r="K38" s="17" t="s">
        <v>67</v>
      </c>
      <c r="L38" s="17" t="n">
        <v>278</v>
      </c>
      <c r="M38" s="17" t="n">
        <v>0</v>
      </c>
      <c r="N38" s="17"/>
      <c r="O38" s="17"/>
    </row>
    <row r="39" customFormat="false" ht="23.85" hidden="false" customHeight="false" outlineLevel="0" collapsed="false">
      <c r="A39" s="17" t="s">
        <v>369</v>
      </c>
      <c r="B39" s="18" t="s">
        <v>91</v>
      </c>
      <c r="C39" s="18" t="s">
        <v>12</v>
      </c>
      <c r="D39" s="17" t="s">
        <v>370</v>
      </c>
      <c r="E39" s="23" t="s">
        <v>28</v>
      </c>
      <c r="F39" s="17"/>
      <c r="G39" s="17" t="s">
        <v>371</v>
      </c>
      <c r="H39" s="17" t="s">
        <v>265</v>
      </c>
      <c r="I39" s="17"/>
      <c r="J39" s="17"/>
      <c r="K39" s="17" t="s">
        <v>68</v>
      </c>
      <c r="L39" s="17" t="n">
        <v>116</v>
      </c>
      <c r="M39" s="17" t="n">
        <v>106</v>
      </c>
      <c r="N39" s="17"/>
      <c r="O39" s="17"/>
    </row>
    <row r="40" customFormat="false" ht="23.85" hidden="false" customHeight="false" outlineLevel="0" collapsed="false">
      <c r="A40" s="17" t="s">
        <v>372</v>
      </c>
      <c r="B40" s="18" t="s">
        <v>91</v>
      </c>
      <c r="C40" s="18" t="s">
        <v>12</v>
      </c>
      <c r="D40" s="17" t="s">
        <v>373</v>
      </c>
      <c r="E40" s="23" t="s">
        <v>28</v>
      </c>
      <c r="F40" s="17"/>
      <c r="G40" s="17" t="s">
        <v>374</v>
      </c>
      <c r="H40" s="17" t="s">
        <v>265</v>
      </c>
      <c r="I40" s="17"/>
      <c r="J40" s="17"/>
      <c r="K40" s="17" t="s">
        <v>68</v>
      </c>
      <c r="L40" s="17" t="n">
        <v>116</v>
      </c>
      <c r="M40" s="17" t="n">
        <v>106.5</v>
      </c>
      <c r="N40" s="17"/>
      <c r="O40" s="17"/>
    </row>
    <row r="41" customFormat="false" ht="23.85" hidden="false" customHeight="false" outlineLevel="0" collapsed="false">
      <c r="A41" s="17" t="s">
        <v>375</v>
      </c>
      <c r="B41" s="18" t="s">
        <v>91</v>
      </c>
      <c r="C41" s="18" t="s">
        <v>12</v>
      </c>
      <c r="D41" s="17" t="s">
        <v>376</v>
      </c>
      <c r="E41" s="23" t="s">
        <v>28</v>
      </c>
      <c r="F41" s="17"/>
      <c r="G41" s="17" t="s">
        <v>377</v>
      </c>
      <c r="H41" s="17" t="s">
        <v>265</v>
      </c>
      <c r="I41" s="17"/>
      <c r="J41" s="17"/>
      <c r="K41" s="17" t="s">
        <v>68</v>
      </c>
      <c r="L41" s="17" t="n">
        <v>116</v>
      </c>
      <c r="M41" s="17" t="n">
        <v>106.4</v>
      </c>
      <c r="N41" s="17"/>
      <c r="O41" s="17"/>
    </row>
    <row r="42" customFormat="false" ht="23.85" hidden="false" customHeight="false" outlineLevel="0" collapsed="false">
      <c r="A42" s="17" t="s">
        <v>378</v>
      </c>
      <c r="B42" s="18" t="s">
        <v>91</v>
      </c>
      <c r="C42" s="18" t="s">
        <v>12</v>
      </c>
      <c r="D42" s="17" t="s">
        <v>379</v>
      </c>
      <c r="E42" s="23" t="s">
        <v>28</v>
      </c>
      <c r="F42" s="17"/>
      <c r="G42" s="17" t="s">
        <v>380</v>
      </c>
      <c r="H42" s="17" t="s">
        <v>265</v>
      </c>
      <c r="I42" s="17"/>
      <c r="J42" s="17"/>
      <c r="K42" s="17" t="s">
        <v>68</v>
      </c>
      <c r="L42" s="17" t="n">
        <v>133</v>
      </c>
      <c r="M42" s="17" t="n">
        <v>6.5</v>
      </c>
      <c r="N42" s="17"/>
      <c r="O42" s="17"/>
    </row>
    <row r="43" customFormat="false" ht="23.85" hidden="false" customHeight="false" outlineLevel="0" collapsed="false">
      <c r="A43" s="17" t="s">
        <v>189</v>
      </c>
      <c r="B43" s="18" t="s">
        <v>91</v>
      </c>
      <c r="C43" s="18" t="s">
        <v>12</v>
      </c>
      <c r="D43" s="17" t="s">
        <v>381</v>
      </c>
      <c r="E43" s="23" t="s">
        <v>28</v>
      </c>
      <c r="F43" s="17"/>
      <c r="G43" s="17" t="s">
        <v>382</v>
      </c>
      <c r="H43" s="17" t="s">
        <v>265</v>
      </c>
      <c r="I43" s="17"/>
      <c r="J43" s="17"/>
      <c r="K43" s="17" t="s">
        <v>68</v>
      </c>
      <c r="L43" s="17" t="n">
        <v>156</v>
      </c>
      <c r="M43" s="17" t="n">
        <v>6.8</v>
      </c>
      <c r="N43" s="17"/>
      <c r="O43" s="17"/>
    </row>
    <row r="44" customFormat="false" ht="23.85" hidden="false" customHeight="false" outlineLevel="0" collapsed="false">
      <c r="A44" s="17" t="s">
        <v>383</v>
      </c>
      <c r="B44" s="18" t="s">
        <v>91</v>
      </c>
      <c r="C44" s="18" t="s">
        <v>12</v>
      </c>
      <c r="D44" s="17" t="s">
        <v>384</v>
      </c>
      <c r="E44" s="23" t="s">
        <v>28</v>
      </c>
      <c r="F44" s="17"/>
      <c r="G44" s="17" t="s">
        <v>385</v>
      </c>
      <c r="H44" s="17" t="s">
        <v>265</v>
      </c>
      <c r="I44" s="17"/>
      <c r="J44" s="17"/>
      <c r="K44" s="17" t="s">
        <v>68</v>
      </c>
      <c r="L44" s="17" t="n">
        <v>166</v>
      </c>
      <c r="M44" s="17" t="n">
        <v>6.9</v>
      </c>
      <c r="N44" s="17"/>
      <c r="O44" s="17"/>
    </row>
    <row r="45" customFormat="false" ht="23.85" hidden="false" customHeight="false" outlineLevel="0" collapsed="false">
      <c r="A45" s="17" t="s">
        <v>386</v>
      </c>
      <c r="B45" s="18" t="s">
        <v>91</v>
      </c>
      <c r="C45" s="18" t="s">
        <v>12</v>
      </c>
      <c r="D45" s="17" t="s">
        <v>387</v>
      </c>
      <c r="E45" s="23" t="s">
        <v>28</v>
      </c>
      <c r="F45" s="17"/>
      <c r="G45" s="17" t="s">
        <v>388</v>
      </c>
      <c r="H45" s="17" t="s">
        <v>265</v>
      </c>
      <c r="I45" s="17"/>
      <c r="J45" s="17"/>
      <c r="K45" s="17" t="s">
        <v>69</v>
      </c>
      <c r="L45" s="17" t="n">
        <v>184</v>
      </c>
      <c r="M45" s="17" t="n">
        <v>46.7</v>
      </c>
      <c r="N45" s="17"/>
      <c r="O45" s="17"/>
    </row>
    <row r="46" customFormat="false" ht="23.85" hidden="false" customHeight="false" outlineLevel="0" collapsed="false">
      <c r="A46" s="17" t="s">
        <v>389</v>
      </c>
      <c r="B46" s="18" t="s">
        <v>91</v>
      </c>
      <c r="C46" s="18" t="s">
        <v>12</v>
      </c>
      <c r="D46" s="17" t="s">
        <v>390</v>
      </c>
      <c r="E46" s="23" t="s">
        <v>28</v>
      </c>
      <c r="F46" s="17"/>
      <c r="G46" s="17" t="s">
        <v>391</v>
      </c>
      <c r="H46" s="17" t="s">
        <v>265</v>
      </c>
      <c r="I46" s="17"/>
      <c r="J46" s="17"/>
      <c r="K46" s="17" t="s">
        <v>69</v>
      </c>
      <c r="L46" s="17" t="n">
        <v>245</v>
      </c>
      <c r="M46" s="17" t="n">
        <v>0.6</v>
      </c>
      <c r="N46" s="17"/>
      <c r="O46" s="17"/>
    </row>
    <row r="47" customFormat="false" ht="23.85" hidden="false" customHeight="false" outlineLevel="0" collapsed="false">
      <c r="A47" s="17" t="s">
        <v>119</v>
      </c>
      <c r="B47" s="18" t="s">
        <v>91</v>
      </c>
      <c r="C47" s="18" t="s">
        <v>12</v>
      </c>
      <c r="D47" s="17" t="s">
        <v>392</v>
      </c>
      <c r="E47" s="23" t="s">
        <v>28</v>
      </c>
      <c r="F47" s="17"/>
      <c r="G47" s="17" t="s">
        <v>393</v>
      </c>
      <c r="H47" s="17" t="s">
        <v>265</v>
      </c>
      <c r="I47" s="17"/>
      <c r="J47" s="17"/>
      <c r="K47" s="17" t="s">
        <v>69</v>
      </c>
      <c r="L47" s="17" t="n">
        <v>268</v>
      </c>
      <c r="M47" s="17" t="n">
        <v>0.8</v>
      </c>
      <c r="N47" s="17"/>
      <c r="O47" s="17"/>
    </row>
    <row r="48" customFormat="false" ht="23.85" hidden="false" customHeight="false" outlineLevel="0" collapsed="false">
      <c r="A48" s="17" t="s">
        <v>394</v>
      </c>
      <c r="B48" s="18" t="s">
        <v>91</v>
      </c>
      <c r="C48" s="18" t="s">
        <v>12</v>
      </c>
      <c r="D48" s="17" t="s">
        <v>395</v>
      </c>
      <c r="E48" s="23" t="s">
        <v>28</v>
      </c>
      <c r="F48" s="17"/>
      <c r="G48" s="17" t="s">
        <v>396</v>
      </c>
      <c r="H48" s="17" t="s">
        <v>265</v>
      </c>
      <c r="I48" s="17"/>
      <c r="J48" s="17"/>
      <c r="K48" s="17" t="s">
        <v>69</v>
      </c>
      <c r="L48" s="17" t="n">
        <v>294</v>
      </c>
      <c r="M48" s="17" t="n">
        <v>6.4</v>
      </c>
      <c r="N48" s="17"/>
      <c r="O48" s="17"/>
    </row>
    <row r="49" customFormat="false" ht="23.85" hidden="false" customHeight="false" outlineLevel="0" collapsed="false">
      <c r="A49" s="17" t="s">
        <v>397</v>
      </c>
      <c r="B49" s="18" t="s">
        <v>91</v>
      </c>
      <c r="C49" s="18" t="s">
        <v>12</v>
      </c>
      <c r="D49" s="17" t="s">
        <v>398</v>
      </c>
      <c r="E49" s="23" t="s">
        <v>28</v>
      </c>
      <c r="F49" s="17"/>
      <c r="G49" s="17" t="s">
        <v>396</v>
      </c>
      <c r="H49" s="17" t="s">
        <v>265</v>
      </c>
      <c r="I49" s="17"/>
      <c r="J49" s="17"/>
      <c r="K49" s="17" t="s">
        <v>69</v>
      </c>
      <c r="L49" s="17" t="n">
        <v>294</v>
      </c>
      <c r="M49" s="17" t="n">
        <v>6.5</v>
      </c>
      <c r="N49" s="17"/>
      <c r="O49" s="17"/>
    </row>
    <row r="50" customFormat="false" ht="23.85" hidden="false" customHeight="false" outlineLevel="0" collapsed="false">
      <c r="A50" s="17" t="s">
        <v>227</v>
      </c>
      <c r="B50" s="18" t="s">
        <v>91</v>
      </c>
      <c r="C50" s="18" t="s">
        <v>12</v>
      </c>
      <c r="D50" s="17" t="s">
        <v>399</v>
      </c>
      <c r="E50" s="23" t="s">
        <v>28</v>
      </c>
      <c r="F50" s="17"/>
      <c r="G50" s="17" t="s">
        <v>400</v>
      </c>
      <c r="H50" s="17" t="s">
        <v>265</v>
      </c>
      <c r="I50" s="17"/>
      <c r="J50" s="17"/>
      <c r="K50" s="17" t="s">
        <v>71</v>
      </c>
      <c r="L50" s="17" t="n">
        <v>218</v>
      </c>
      <c r="M50" s="17" t="n">
        <v>9.2</v>
      </c>
      <c r="N50" s="17"/>
      <c r="O50" s="17"/>
    </row>
    <row r="51" customFormat="false" ht="23.85" hidden="false" customHeight="false" outlineLevel="0" collapsed="false">
      <c r="A51" s="17" t="s">
        <v>136</v>
      </c>
      <c r="B51" s="18" t="s">
        <v>91</v>
      </c>
      <c r="C51" s="18" t="s">
        <v>12</v>
      </c>
      <c r="D51" s="17" t="s">
        <v>401</v>
      </c>
      <c r="E51" s="23" t="s">
        <v>28</v>
      </c>
      <c r="F51" s="17"/>
      <c r="G51" s="17" t="s">
        <v>402</v>
      </c>
      <c r="H51" s="17" t="s">
        <v>265</v>
      </c>
      <c r="I51" s="17"/>
      <c r="J51" s="17"/>
      <c r="K51" s="17" t="s">
        <v>71</v>
      </c>
      <c r="L51" s="17" t="n">
        <v>218</v>
      </c>
      <c r="M51" s="17" t="n">
        <v>9.1</v>
      </c>
      <c r="N51" s="17"/>
      <c r="O51" s="17"/>
    </row>
    <row r="52" customFormat="false" ht="23.85" hidden="false" customHeight="false" outlineLevel="0" collapsed="false">
      <c r="A52" s="17" t="s">
        <v>403</v>
      </c>
      <c r="B52" s="18" t="s">
        <v>91</v>
      </c>
      <c r="C52" s="18" t="s">
        <v>12</v>
      </c>
      <c r="D52" s="17" t="s">
        <v>404</v>
      </c>
      <c r="E52" s="23" t="s">
        <v>28</v>
      </c>
      <c r="F52" s="17"/>
      <c r="G52" s="17" t="s">
        <v>405</v>
      </c>
      <c r="H52" s="17" t="s">
        <v>265</v>
      </c>
      <c r="I52" s="17"/>
      <c r="J52" s="17"/>
      <c r="K52" s="17" t="s">
        <v>71</v>
      </c>
      <c r="L52" s="17" t="n">
        <v>231</v>
      </c>
      <c r="M52" s="17" t="n">
        <v>0.2</v>
      </c>
      <c r="N52" s="17"/>
      <c r="O52" s="17"/>
    </row>
    <row r="53" customFormat="false" ht="23.85" hidden="false" customHeight="false" outlineLevel="0" collapsed="false">
      <c r="A53" s="17" t="s">
        <v>406</v>
      </c>
      <c r="B53" s="18" t="s">
        <v>91</v>
      </c>
      <c r="C53" s="18" t="s">
        <v>12</v>
      </c>
      <c r="D53" s="17" t="s">
        <v>407</v>
      </c>
      <c r="E53" s="23" t="s">
        <v>28</v>
      </c>
      <c r="F53" s="17"/>
      <c r="G53" s="17" t="s">
        <v>408</v>
      </c>
      <c r="H53" s="17" t="s">
        <v>265</v>
      </c>
      <c r="I53" s="17"/>
      <c r="J53" s="17"/>
      <c r="K53" s="17" t="s">
        <v>71</v>
      </c>
      <c r="L53" s="17" t="n">
        <v>270</v>
      </c>
      <c r="M53" s="17" t="n">
        <v>6.9</v>
      </c>
      <c r="N53" s="17"/>
      <c r="O53" s="17"/>
    </row>
    <row r="54" customFormat="false" ht="23.85" hidden="false" customHeight="false" outlineLevel="0" collapsed="false">
      <c r="A54" s="17" t="s">
        <v>409</v>
      </c>
      <c r="B54" s="18" t="s">
        <v>91</v>
      </c>
      <c r="C54" s="18" t="s">
        <v>12</v>
      </c>
      <c r="D54" s="17" t="s">
        <v>410</v>
      </c>
      <c r="E54" s="23" t="s">
        <v>28</v>
      </c>
      <c r="F54" s="17"/>
      <c r="G54" s="17" t="s">
        <v>411</v>
      </c>
      <c r="H54" s="17" t="s">
        <v>265</v>
      </c>
      <c r="I54" s="17"/>
      <c r="J54" s="17"/>
      <c r="K54" s="17" t="s">
        <v>72</v>
      </c>
      <c r="L54" s="17" t="n">
        <v>237</v>
      </c>
      <c r="M54" s="17" t="n">
        <v>0.4</v>
      </c>
      <c r="N54" s="17"/>
      <c r="O54" s="17"/>
    </row>
    <row r="55" customFormat="false" ht="23.85" hidden="false" customHeight="false" outlineLevel="0" collapsed="false">
      <c r="A55" s="17" t="s">
        <v>108</v>
      </c>
      <c r="B55" s="18" t="s">
        <v>91</v>
      </c>
      <c r="C55" s="18" t="s">
        <v>12</v>
      </c>
      <c r="D55" s="17" t="s">
        <v>412</v>
      </c>
      <c r="E55" s="23" t="s">
        <v>28</v>
      </c>
      <c r="F55" s="17"/>
      <c r="G55" s="17" t="s">
        <v>413</v>
      </c>
      <c r="H55" s="17" t="s">
        <v>265</v>
      </c>
      <c r="I55" s="17"/>
      <c r="J55" s="17"/>
      <c r="K55" s="17" t="s">
        <v>73</v>
      </c>
      <c r="L55" s="17" t="n">
        <v>109</v>
      </c>
      <c r="M55" s="17" t="n">
        <v>9.4</v>
      </c>
      <c r="N55" s="17"/>
      <c r="O55" s="17"/>
    </row>
    <row r="56" customFormat="false" ht="23.85" hidden="false" customHeight="false" outlineLevel="0" collapsed="false">
      <c r="A56" s="17" t="s">
        <v>414</v>
      </c>
      <c r="B56" s="18" t="s">
        <v>91</v>
      </c>
      <c r="C56" s="18" t="s">
        <v>12</v>
      </c>
      <c r="D56" s="17" t="s">
        <v>415</v>
      </c>
      <c r="E56" s="23" t="s">
        <v>28</v>
      </c>
      <c r="F56" s="17"/>
      <c r="G56" s="17" t="s">
        <v>416</v>
      </c>
      <c r="H56" s="17" t="s">
        <v>265</v>
      </c>
      <c r="I56" s="17"/>
      <c r="J56" s="17"/>
      <c r="K56" s="17" t="s">
        <v>73</v>
      </c>
      <c r="L56" s="17" t="n">
        <v>109</v>
      </c>
      <c r="M56" s="17" t="n">
        <v>9.3</v>
      </c>
      <c r="N56" s="17"/>
      <c r="O56" s="17"/>
    </row>
    <row r="57" customFormat="false" ht="23.85" hidden="false" customHeight="false" outlineLevel="0" collapsed="false">
      <c r="A57" s="17" t="s">
        <v>417</v>
      </c>
      <c r="B57" s="18" t="s">
        <v>91</v>
      </c>
      <c r="C57" s="18" t="s">
        <v>12</v>
      </c>
      <c r="D57" s="17" t="s">
        <v>418</v>
      </c>
      <c r="E57" s="23" t="s">
        <v>28</v>
      </c>
      <c r="F57" s="17"/>
      <c r="G57" s="17" t="s">
        <v>419</v>
      </c>
      <c r="H57" s="17" t="s">
        <v>265</v>
      </c>
      <c r="I57" s="17"/>
      <c r="J57" s="17"/>
      <c r="K57" s="17" t="s">
        <v>73</v>
      </c>
      <c r="L57" s="17" t="n">
        <v>109</v>
      </c>
      <c r="M57" s="17" t="n">
        <v>9.4</v>
      </c>
      <c r="N57" s="17"/>
      <c r="O57" s="17"/>
    </row>
    <row r="58" customFormat="false" ht="23.85" hidden="false" customHeight="false" outlineLevel="0" collapsed="false">
      <c r="A58" s="17" t="s">
        <v>420</v>
      </c>
      <c r="B58" s="18" t="s">
        <v>91</v>
      </c>
      <c r="C58" s="18" t="s">
        <v>12</v>
      </c>
      <c r="D58" s="17" t="s">
        <v>421</v>
      </c>
      <c r="E58" s="23" t="s">
        <v>28</v>
      </c>
      <c r="F58" s="17"/>
      <c r="G58" s="17" t="s">
        <v>422</v>
      </c>
      <c r="H58" s="17" t="s">
        <v>265</v>
      </c>
      <c r="I58" s="17"/>
      <c r="J58" s="17"/>
      <c r="K58" s="17" t="s">
        <v>73</v>
      </c>
      <c r="L58" s="17" t="n">
        <v>109</v>
      </c>
      <c r="M58" s="17" t="n">
        <v>9.3</v>
      </c>
      <c r="N58" s="17"/>
      <c r="O58" s="17"/>
    </row>
    <row r="59" customFormat="false" ht="23.85" hidden="false" customHeight="false" outlineLevel="0" collapsed="false">
      <c r="A59" s="17" t="s">
        <v>423</v>
      </c>
      <c r="B59" s="18" t="s">
        <v>91</v>
      </c>
      <c r="C59" s="18" t="s">
        <v>12</v>
      </c>
      <c r="D59" s="17" t="s">
        <v>424</v>
      </c>
      <c r="E59" s="23" t="s">
        <v>28</v>
      </c>
      <c r="F59" s="17"/>
      <c r="G59" s="17" t="s">
        <v>425</v>
      </c>
      <c r="H59" s="17" t="s">
        <v>265</v>
      </c>
      <c r="I59" s="17"/>
      <c r="J59" s="17"/>
      <c r="K59" s="17" t="s">
        <v>73</v>
      </c>
      <c r="L59" s="17" t="n">
        <v>109</v>
      </c>
      <c r="M59" s="17" t="n">
        <v>9.4</v>
      </c>
      <c r="N59" s="17"/>
      <c r="O59" s="17"/>
    </row>
    <row r="60" customFormat="false" ht="23.85" hidden="false" customHeight="false" outlineLevel="0" collapsed="false">
      <c r="A60" s="17" t="s">
        <v>127</v>
      </c>
      <c r="B60" s="18" t="s">
        <v>91</v>
      </c>
      <c r="C60" s="18" t="s">
        <v>12</v>
      </c>
      <c r="D60" s="17" t="s">
        <v>426</v>
      </c>
      <c r="E60" s="23" t="s">
        <v>28</v>
      </c>
      <c r="F60" s="17"/>
      <c r="G60" s="17" t="s">
        <v>427</v>
      </c>
      <c r="H60" s="17" t="s">
        <v>265</v>
      </c>
      <c r="I60" s="17"/>
      <c r="J60" s="17"/>
      <c r="K60" s="17" t="s">
        <v>73</v>
      </c>
      <c r="L60" s="17" t="n">
        <v>160</v>
      </c>
      <c r="M60" s="17" t="n">
        <v>2.9</v>
      </c>
      <c r="N60" s="17"/>
      <c r="O60" s="17"/>
    </row>
    <row r="61" customFormat="false" ht="23.85" hidden="false" customHeight="false" outlineLevel="0" collapsed="false">
      <c r="A61" s="17" t="s">
        <v>130</v>
      </c>
      <c r="B61" s="18" t="s">
        <v>91</v>
      </c>
      <c r="C61" s="18" t="s">
        <v>12</v>
      </c>
      <c r="D61" s="17" t="s">
        <v>428</v>
      </c>
      <c r="E61" s="23" t="s">
        <v>28</v>
      </c>
      <c r="F61" s="17"/>
      <c r="G61" s="17" t="s">
        <v>429</v>
      </c>
      <c r="H61" s="17" t="s">
        <v>265</v>
      </c>
      <c r="I61" s="17"/>
      <c r="J61" s="17"/>
      <c r="K61" s="17" t="s">
        <v>73</v>
      </c>
      <c r="L61" s="17" t="n">
        <v>160</v>
      </c>
      <c r="M61" s="17" t="n">
        <v>7</v>
      </c>
      <c r="N61" s="17"/>
      <c r="O61" s="17"/>
    </row>
    <row r="62" customFormat="false" ht="23.85" hidden="false" customHeight="false" outlineLevel="0" collapsed="false">
      <c r="A62" s="17" t="s">
        <v>430</v>
      </c>
      <c r="B62" s="18" t="s">
        <v>91</v>
      </c>
      <c r="C62" s="18" t="s">
        <v>12</v>
      </c>
      <c r="D62" s="17" t="s">
        <v>431</v>
      </c>
      <c r="E62" s="23" t="s">
        <v>28</v>
      </c>
      <c r="F62" s="17"/>
      <c r="G62" s="17" t="s">
        <v>432</v>
      </c>
      <c r="H62" s="17" t="s">
        <v>265</v>
      </c>
      <c r="I62" s="17"/>
      <c r="J62" s="17"/>
      <c r="K62" s="17" t="s">
        <v>73</v>
      </c>
      <c r="L62" s="17" t="n">
        <v>160</v>
      </c>
      <c r="M62" s="17" t="n">
        <v>1.6</v>
      </c>
      <c r="N62" s="17"/>
      <c r="O62" s="17"/>
    </row>
    <row r="63" customFormat="false" ht="23.85" hidden="false" customHeight="false" outlineLevel="0" collapsed="false">
      <c r="A63" s="17" t="s">
        <v>433</v>
      </c>
      <c r="B63" s="18" t="s">
        <v>91</v>
      </c>
      <c r="C63" s="18" t="s">
        <v>12</v>
      </c>
      <c r="D63" s="17" t="s">
        <v>434</v>
      </c>
      <c r="E63" s="23" t="s">
        <v>28</v>
      </c>
      <c r="F63" s="17"/>
      <c r="G63" s="17" t="s">
        <v>435</v>
      </c>
      <c r="H63" s="17" t="s">
        <v>265</v>
      </c>
      <c r="I63" s="17"/>
      <c r="J63" s="17"/>
      <c r="K63" s="17" t="s">
        <v>73</v>
      </c>
      <c r="L63" s="17" t="n">
        <v>160</v>
      </c>
      <c r="M63" s="17" t="n">
        <v>0.4</v>
      </c>
      <c r="N63" s="17"/>
      <c r="O63" s="17"/>
    </row>
    <row r="64" customFormat="false" ht="23.85" hidden="false" customHeight="false" outlineLevel="0" collapsed="false">
      <c r="A64" s="17" t="s">
        <v>436</v>
      </c>
      <c r="B64" s="18" t="s">
        <v>91</v>
      </c>
      <c r="C64" s="18" t="s">
        <v>12</v>
      </c>
      <c r="D64" s="17" t="s">
        <v>437</v>
      </c>
      <c r="E64" s="23" t="s">
        <v>28</v>
      </c>
      <c r="F64" s="17"/>
      <c r="G64" s="17" t="s">
        <v>438</v>
      </c>
      <c r="H64" s="17" t="s">
        <v>265</v>
      </c>
      <c r="I64" s="17"/>
      <c r="J64" s="17"/>
      <c r="K64" s="17" t="s">
        <v>73</v>
      </c>
      <c r="L64" s="17" t="n">
        <v>222</v>
      </c>
      <c r="M64" s="17" t="n">
        <v>18.1</v>
      </c>
      <c r="N64" s="17"/>
      <c r="O64" s="17"/>
    </row>
    <row r="65" customFormat="false" ht="23.85" hidden="false" customHeight="false" outlineLevel="0" collapsed="false">
      <c r="A65" s="17" t="s">
        <v>439</v>
      </c>
      <c r="B65" s="18" t="s">
        <v>91</v>
      </c>
      <c r="C65" s="18" t="s">
        <v>12</v>
      </c>
      <c r="D65" s="17" t="s">
        <v>440</v>
      </c>
      <c r="E65" s="23" t="s">
        <v>28</v>
      </c>
      <c r="F65" s="17"/>
      <c r="G65" s="17" t="s">
        <v>441</v>
      </c>
      <c r="H65" s="17" t="s">
        <v>265</v>
      </c>
      <c r="I65" s="17"/>
      <c r="J65" s="17"/>
      <c r="K65" s="17" t="s">
        <v>74</v>
      </c>
      <c r="L65" s="17" t="n">
        <v>94</v>
      </c>
      <c r="M65" s="17" t="n">
        <v>6.8</v>
      </c>
      <c r="N65" s="17"/>
      <c r="O65" s="17"/>
    </row>
    <row r="66" customFormat="false" ht="23.85" hidden="false" customHeight="false" outlineLevel="0" collapsed="false">
      <c r="A66" s="17" t="s">
        <v>442</v>
      </c>
      <c r="B66" s="18" t="s">
        <v>91</v>
      </c>
      <c r="C66" s="18" t="s">
        <v>12</v>
      </c>
      <c r="D66" s="17" t="s">
        <v>443</v>
      </c>
      <c r="E66" s="23" t="s">
        <v>28</v>
      </c>
      <c r="F66" s="17"/>
      <c r="G66" s="17" t="s">
        <v>441</v>
      </c>
      <c r="H66" s="17" t="s">
        <v>265</v>
      </c>
      <c r="I66" s="17"/>
      <c r="J66" s="17"/>
      <c r="K66" s="17" t="s">
        <v>74</v>
      </c>
      <c r="L66" s="17" t="n">
        <v>94</v>
      </c>
      <c r="M66" s="17" t="n">
        <v>7</v>
      </c>
      <c r="N66" s="17"/>
      <c r="O66" s="17"/>
    </row>
  </sheetData>
  <autoFilter ref="A2:M66"/>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B19" r:id="rId33" display="Open case"/>
    <hyperlink ref="C19" r:id="rId34" display="Run 415"/>
    <hyperlink ref="B20" r:id="rId35" display="Open case"/>
    <hyperlink ref="C20" r:id="rId36" display="Run 415"/>
    <hyperlink ref="B21" r:id="rId37" display="Open case"/>
    <hyperlink ref="C21" r:id="rId38" display="Run 415"/>
    <hyperlink ref="B22" r:id="rId39" display="Open case"/>
    <hyperlink ref="C22" r:id="rId40" display="Run 415"/>
    <hyperlink ref="B23" r:id="rId41" display="Open case"/>
    <hyperlink ref="C23" r:id="rId42" display="Run 415"/>
    <hyperlink ref="B24" r:id="rId43" display="Open case"/>
    <hyperlink ref="C24" r:id="rId44" display="Run 415"/>
    <hyperlink ref="B25" r:id="rId45" display="Open case"/>
    <hyperlink ref="C25" r:id="rId46" display="Run 415"/>
    <hyperlink ref="B26" r:id="rId47" display="Open case"/>
    <hyperlink ref="C26" r:id="rId48" display="Run 415"/>
    <hyperlink ref="B27" r:id="rId49" display="Open case"/>
    <hyperlink ref="C27" r:id="rId50" display="Run 415"/>
    <hyperlink ref="B28" r:id="rId51" display="Open case"/>
    <hyperlink ref="C28" r:id="rId52" display="Run 415"/>
    <hyperlink ref="B29" r:id="rId53" display="Open case"/>
    <hyperlink ref="C29" r:id="rId54" display="Run 415"/>
    <hyperlink ref="B30" r:id="rId55" display="Open case"/>
    <hyperlink ref="C30" r:id="rId56" display="Run 415"/>
    <hyperlink ref="B31" r:id="rId57" display="Open case"/>
    <hyperlink ref="C31" r:id="rId58" display="Run 415"/>
    <hyperlink ref="B32" r:id="rId59" display="Open case"/>
    <hyperlink ref="C32" r:id="rId60" display="Run 415"/>
    <hyperlink ref="B33" r:id="rId61" display="Open case"/>
    <hyperlink ref="C33" r:id="rId62" display="Run 415"/>
    <hyperlink ref="B34" r:id="rId63" display="Open case"/>
    <hyperlink ref="C34" r:id="rId64" display="Run 415"/>
    <hyperlink ref="B35" r:id="rId65" display="Open case"/>
    <hyperlink ref="C35" r:id="rId66" display="Run 415"/>
    <hyperlink ref="B36" r:id="rId67" display="Open case"/>
    <hyperlink ref="C36" r:id="rId68" display="Run 415"/>
    <hyperlink ref="B37" r:id="rId69" display="Open case"/>
    <hyperlink ref="C37" r:id="rId70" display="Run 415"/>
    <hyperlink ref="B38" r:id="rId71" display="Open case"/>
    <hyperlink ref="C38" r:id="rId72" display="Run 415"/>
    <hyperlink ref="B39" r:id="rId73" display="Open case"/>
    <hyperlink ref="C39" r:id="rId74" display="Run 415"/>
    <hyperlink ref="B40" r:id="rId75" display="Open case"/>
    <hyperlink ref="C40" r:id="rId76" display="Run 415"/>
    <hyperlink ref="B41" r:id="rId77" display="Open case"/>
    <hyperlink ref="C41" r:id="rId78" display="Run 415"/>
    <hyperlink ref="B42" r:id="rId79" display="Open case"/>
    <hyperlink ref="C42" r:id="rId80" display="Run 415"/>
    <hyperlink ref="B43" r:id="rId81" display="Open case"/>
    <hyperlink ref="C43" r:id="rId82" display="Run 415"/>
    <hyperlink ref="B44" r:id="rId83" display="Open case"/>
    <hyperlink ref="C44" r:id="rId84" display="Run 415"/>
    <hyperlink ref="B45" r:id="rId85" display="Open case"/>
    <hyperlink ref="C45" r:id="rId86" display="Run 415"/>
    <hyperlink ref="B46" r:id="rId87" display="Open case"/>
    <hyperlink ref="C46" r:id="rId88" display="Run 415"/>
    <hyperlink ref="B47" r:id="rId89" display="Open case"/>
    <hyperlink ref="C47" r:id="rId90" display="Run 415"/>
    <hyperlink ref="B48" r:id="rId91" display="Open case"/>
    <hyperlink ref="C48" r:id="rId92" display="Run 415"/>
    <hyperlink ref="B49" r:id="rId93" display="Open case"/>
    <hyperlink ref="C49" r:id="rId94" display="Run 415"/>
    <hyperlink ref="B50" r:id="rId95" display="Open case"/>
    <hyperlink ref="C50" r:id="rId96" display="Run 415"/>
    <hyperlink ref="B51" r:id="rId97" display="Open case"/>
    <hyperlink ref="C51" r:id="rId98" display="Run 415"/>
    <hyperlink ref="B52" r:id="rId99" display="Open case"/>
    <hyperlink ref="C52" r:id="rId100" display="Run 415"/>
    <hyperlink ref="B53" r:id="rId101" display="Open case"/>
    <hyperlink ref="C53" r:id="rId102" display="Run 415"/>
    <hyperlink ref="B54" r:id="rId103" display="Open case"/>
    <hyperlink ref="C54" r:id="rId104" display="Run 415"/>
    <hyperlink ref="B55" r:id="rId105" display="Open case"/>
    <hyperlink ref="C55" r:id="rId106" display="Run 415"/>
    <hyperlink ref="B56" r:id="rId107" display="Open case"/>
    <hyperlink ref="C56" r:id="rId108" display="Run 415"/>
    <hyperlink ref="B57" r:id="rId109" display="Open case"/>
    <hyperlink ref="C57" r:id="rId110" display="Run 415"/>
    <hyperlink ref="B58" r:id="rId111" display="Open case"/>
    <hyperlink ref="C58" r:id="rId112" display="Run 415"/>
    <hyperlink ref="B59" r:id="rId113" display="Open case"/>
    <hyperlink ref="C59" r:id="rId114" display="Run 415"/>
    <hyperlink ref="B60" r:id="rId115" display="Open case"/>
    <hyperlink ref="C60" r:id="rId116" display="Run 415"/>
    <hyperlink ref="B61" r:id="rId117" display="Open case"/>
    <hyperlink ref="C61" r:id="rId118" display="Run 415"/>
    <hyperlink ref="B62" r:id="rId119" display="Open case"/>
    <hyperlink ref="C62" r:id="rId120" display="Run 415"/>
    <hyperlink ref="B63" r:id="rId121" display="Open case"/>
    <hyperlink ref="C63" r:id="rId122" display="Run 415"/>
    <hyperlink ref="B64" r:id="rId123" display="Open case"/>
    <hyperlink ref="C64" r:id="rId124" display="Run 415"/>
    <hyperlink ref="B65" r:id="rId125" display="Open case"/>
    <hyperlink ref="C65" r:id="rId126" display="Run 415"/>
    <hyperlink ref="B66" r:id="rId127" display="Open case"/>
    <hyperlink ref="C66" r:id="rId128"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847</v>
      </c>
      <c r="B1" s="15"/>
      <c r="C1" s="15"/>
      <c r="D1" s="15"/>
      <c r="E1" s="15"/>
      <c r="F1" s="15"/>
      <c r="G1" s="15"/>
      <c r="H1" s="15"/>
      <c r="I1" s="15"/>
      <c r="J1" s="15"/>
      <c r="K1" s="15"/>
      <c r="L1" s="15"/>
      <c r="M1" s="15"/>
      <c r="N1" s="15"/>
      <c r="O1" s="15"/>
    </row>
    <row r="2" customFormat="false" ht="26.85" hidden="false" customHeight="false" outlineLevel="0" collapsed="false">
      <c r="A2" s="16" t="s">
        <v>77</v>
      </c>
      <c r="B2" s="16" t="s">
        <v>78</v>
      </c>
      <c r="C2" s="16" t="s">
        <v>79</v>
      </c>
      <c r="D2" s="16" t="s">
        <v>80</v>
      </c>
      <c r="E2" s="16" t="s">
        <v>13</v>
      </c>
      <c r="F2" s="16" t="s">
        <v>81</v>
      </c>
      <c r="G2" s="16" t="s">
        <v>82</v>
      </c>
      <c r="H2" s="16" t="s">
        <v>83</v>
      </c>
      <c r="I2" s="16" t="s">
        <v>84</v>
      </c>
      <c r="J2" s="16" t="s">
        <v>85</v>
      </c>
      <c r="K2" s="16" t="s">
        <v>50</v>
      </c>
      <c r="L2" s="16" t="s">
        <v>86</v>
      </c>
      <c r="M2" s="16" t="s">
        <v>87</v>
      </c>
      <c r="N2" s="16" t="s">
        <v>88</v>
      </c>
      <c r="O2" s="16" t="s">
        <v>89</v>
      </c>
    </row>
    <row r="3" customFormat="false" ht="15" hidden="false" customHeight="false" outlineLevel="0" collapsed="false">
      <c r="A3" s="17" t="s">
        <v>444</v>
      </c>
      <c r="B3" s="18" t="s">
        <v>91</v>
      </c>
      <c r="C3" s="18" t="s">
        <v>12</v>
      </c>
      <c r="D3" s="17" t="s">
        <v>445</v>
      </c>
      <c r="E3" s="24" t="s">
        <v>16</v>
      </c>
      <c r="F3" s="17"/>
      <c r="G3" s="17" t="s">
        <v>446</v>
      </c>
      <c r="H3" s="17"/>
      <c r="I3" s="17"/>
      <c r="J3" s="17"/>
      <c r="K3" s="17" t="s">
        <v>56</v>
      </c>
      <c r="L3" s="17" t="n">
        <v>105</v>
      </c>
      <c r="M3" s="17" t="n">
        <v>0</v>
      </c>
      <c r="N3" s="17"/>
      <c r="O3" s="17"/>
    </row>
    <row r="4" customFormat="false" ht="15" hidden="false" customHeight="false" outlineLevel="0" collapsed="false">
      <c r="A4" s="17" t="s">
        <v>447</v>
      </c>
      <c r="B4" s="18" t="s">
        <v>91</v>
      </c>
      <c r="C4" s="18" t="s">
        <v>12</v>
      </c>
      <c r="D4" s="17" t="s">
        <v>448</v>
      </c>
      <c r="E4" s="24" t="s">
        <v>16</v>
      </c>
      <c r="F4" s="17"/>
      <c r="G4" s="17" t="s">
        <v>446</v>
      </c>
      <c r="H4" s="17"/>
      <c r="I4" s="17"/>
      <c r="J4" s="17"/>
      <c r="K4" s="17" t="s">
        <v>56</v>
      </c>
      <c r="L4" s="17" t="n">
        <v>146</v>
      </c>
      <c r="M4" s="17" t="n">
        <v>9.8</v>
      </c>
      <c r="N4" s="17"/>
      <c r="O4" s="17"/>
    </row>
    <row r="5" customFormat="false" ht="15" hidden="false" customHeight="false" outlineLevel="0" collapsed="false">
      <c r="A5" s="17" t="s">
        <v>449</v>
      </c>
      <c r="B5" s="18" t="s">
        <v>91</v>
      </c>
      <c r="C5" s="18" t="s">
        <v>12</v>
      </c>
      <c r="D5" s="17" t="s">
        <v>450</v>
      </c>
      <c r="E5" s="24" t="s">
        <v>16</v>
      </c>
      <c r="F5" s="17"/>
      <c r="G5" s="17" t="s">
        <v>446</v>
      </c>
      <c r="H5" s="17"/>
      <c r="I5" s="17"/>
      <c r="J5" s="17"/>
      <c r="K5" s="17" t="s">
        <v>56</v>
      </c>
      <c r="L5" s="17" t="n">
        <v>180</v>
      </c>
      <c r="M5" s="17" t="n">
        <v>0</v>
      </c>
      <c r="N5" s="17"/>
      <c r="O5" s="17"/>
    </row>
    <row r="6" customFormat="false" ht="15" hidden="false" customHeight="false" outlineLevel="0" collapsed="false">
      <c r="A6" s="17" t="s">
        <v>451</v>
      </c>
      <c r="B6" s="18" t="s">
        <v>91</v>
      </c>
      <c r="C6" s="18" t="s">
        <v>12</v>
      </c>
      <c r="D6" s="17" t="s">
        <v>452</v>
      </c>
      <c r="E6" s="24" t="s">
        <v>16</v>
      </c>
      <c r="F6" s="17"/>
      <c r="G6" s="17" t="s">
        <v>446</v>
      </c>
      <c r="H6" s="17"/>
      <c r="I6" s="17"/>
      <c r="J6" s="17"/>
      <c r="K6" s="17" t="s">
        <v>56</v>
      </c>
      <c r="L6" s="17" t="n">
        <v>193</v>
      </c>
      <c r="M6" s="17" t="n">
        <v>0</v>
      </c>
      <c r="N6" s="17"/>
      <c r="O6" s="17"/>
    </row>
    <row r="7" customFormat="false" ht="15" hidden="false" customHeight="false" outlineLevel="0" collapsed="false">
      <c r="A7" s="17" t="s">
        <v>453</v>
      </c>
      <c r="B7" s="18" t="s">
        <v>91</v>
      </c>
      <c r="C7" s="18" t="s">
        <v>12</v>
      </c>
      <c r="D7" s="17" t="s">
        <v>454</v>
      </c>
      <c r="E7" s="24" t="s">
        <v>16</v>
      </c>
      <c r="F7" s="17"/>
      <c r="G7" s="17" t="s">
        <v>446</v>
      </c>
      <c r="H7" s="17"/>
      <c r="I7" s="17"/>
      <c r="J7" s="17"/>
      <c r="K7" s="17" t="s">
        <v>56</v>
      </c>
      <c r="L7" s="17" t="n">
        <v>203</v>
      </c>
      <c r="M7" s="17" t="n">
        <v>0</v>
      </c>
      <c r="N7" s="17"/>
      <c r="O7" s="17"/>
    </row>
    <row r="8" customFormat="false" ht="15" hidden="false" customHeight="false" outlineLevel="0" collapsed="false">
      <c r="A8" s="17" t="s">
        <v>455</v>
      </c>
      <c r="B8" s="18" t="s">
        <v>91</v>
      </c>
      <c r="C8" s="18" t="s">
        <v>12</v>
      </c>
      <c r="D8" s="17" t="s">
        <v>456</v>
      </c>
      <c r="E8" s="24" t="s">
        <v>16</v>
      </c>
      <c r="F8" s="17"/>
      <c r="G8" s="17" t="s">
        <v>446</v>
      </c>
      <c r="H8" s="17"/>
      <c r="I8" s="17"/>
      <c r="J8" s="17"/>
      <c r="K8" s="17" t="s">
        <v>56</v>
      </c>
      <c r="L8" s="17" t="n">
        <v>221</v>
      </c>
      <c r="M8" s="17" t="n">
        <v>0</v>
      </c>
      <c r="N8" s="17"/>
      <c r="O8" s="17"/>
    </row>
    <row r="9" customFormat="false" ht="23.85" hidden="false" customHeight="false" outlineLevel="0" collapsed="false">
      <c r="A9" s="17" t="s">
        <v>433</v>
      </c>
      <c r="B9" s="18" t="s">
        <v>91</v>
      </c>
      <c r="C9" s="18" t="s">
        <v>12</v>
      </c>
      <c r="D9" s="17" t="s">
        <v>457</v>
      </c>
      <c r="E9" s="24" t="s">
        <v>16</v>
      </c>
      <c r="F9" s="17"/>
      <c r="G9" s="17" t="s">
        <v>446</v>
      </c>
      <c r="H9" s="17"/>
      <c r="I9" s="17"/>
      <c r="J9" s="17"/>
      <c r="K9" s="17" t="s">
        <v>57</v>
      </c>
      <c r="L9" s="17" t="n">
        <v>83</v>
      </c>
      <c r="M9" s="17" t="n">
        <v>0</v>
      </c>
      <c r="N9" s="17"/>
      <c r="O9" s="17"/>
    </row>
    <row r="10" customFormat="false" ht="15" hidden="false" customHeight="false" outlineLevel="0" collapsed="false">
      <c r="A10" s="17" t="s">
        <v>313</v>
      </c>
      <c r="B10" s="18" t="s">
        <v>91</v>
      </c>
      <c r="C10" s="18" t="s">
        <v>12</v>
      </c>
      <c r="D10" s="17" t="s">
        <v>458</v>
      </c>
      <c r="E10" s="24" t="s">
        <v>16</v>
      </c>
      <c r="F10" s="17"/>
      <c r="G10" s="17" t="s">
        <v>446</v>
      </c>
      <c r="H10" s="17"/>
      <c r="I10" s="17"/>
      <c r="J10" s="17"/>
      <c r="K10" s="17" t="s">
        <v>57</v>
      </c>
      <c r="L10" s="17" t="n">
        <v>83</v>
      </c>
      <c r="M10" s="17" t="n">
        <v>18</v>
      </c>
      <c r="N10" s="17"/>
      <c r="O10" s="17"/>
    </row>
    <row r="11" customFormat="false" ht="15" hidden="false" customHeight="false" outlineLevel="0" collapsed="false">
      <c r="A11" s="17" t="s">
        <v>459</v>
      </c>
      <c r="B11" s="18" t="s">
        <v>91</v>
      </c>
      <c r="C11" s="18" t="s">
        <v>12</v>
      </c>
      <c r="D11" s="17" t="s">
        <v>460</v>
      </c>
      <c r="E11" s="24" t="s">
        <v>16</v>
      </c>
      <c r="F11" s="17"/>
      <c r="G11" s="17" t="s">
        <v>446</v>
      </c>
      <c r="H11" s="17"/>
      <c r="I11" s="17"/>
      <c r="J11" s="17"/>
      <c r="K11" s="17" t="s">
        <v>57</v>
      </c>
      <c r="L11" s="17" t="n">
        <v>83</v>
      </c>
      <c r="M11" s="17" t="n">
        <v>26.9</v>
      </c>
      <c r="N11" s="17"/>
      <c r="O11" s="17"/>
    </row>
    <row r="12" customFormat="false" ht="15" hidden="false" customHeight="false" outlineLevel="0" collapsed="false">
      <c r="A12" s="17" t="s">
        <v>461</v>
      </c>
      <c r="B12" s="18" t="s">
        <v>91</v>
      </c>
      <c r="C12" s="18" t="s">
        <v>12</v>
      </c>
      <c r="D12" s="17" t="s">
        <v>462</v>
      </c>
      <c r="E12" s="24" t="s">
        <v>16</v>
      </c>
      <c r="F12" s="17"/>
      <c r="G12" s="17" t="s">
        <v>446</v>
      </c>
      <c r="H12" s="17"/>
      <c r="I12" s="17"/>
      <c r="J12" s="17"/>
      <c r="K12" s="17" t="s">
        <v>57</v>
      </c>
      <c r="L12" s="17" t="n">
        <v>83</v>
      </c>
      <c r="M12" s="17" t="n">
        <v>28.4</v>
      </c>
      <c r="N12" s="17"/>
      <c r="O12" s="17"/>
    </row>
    <row r="13" customFormat="false" ht="15" hidden="false" customHeight="false" outlineLevel="0" collapsed="false">
      <c r="A13" s="17" t="s">
        <v>430</v>
      </c>
      <c r="B13" s="18" t="s">
        <v>91</v>
      </c>
      <c r="C13" s="18" t="s">
        <v>12</v>
      </c>
      <c r="D13" s="17" t="s">
        <v>463</v>
      </c>
      <c r="E13" s="24" t="s">
        <v>16</v>
      </c>
      <c r="F13" s="17"/>
      <c r="G13" s="17" t="s">
        <v>446</v>
      </c>
      <c r="H13" s="17"/>
      <c r="I13" s="17"/>
      <c r="J13" s="17"/>
      <c r="K13" s="17" t="s">
        <v>57</v>
      </c>
      <c r="L13" s="17" t="n">
        <v>83</v>
      </c>
      <c r="M13" s="17" t="n">
        <v>30.8</v>
      </c>
      <c r="N13" s="17"/>
      <c r="O13" s="17"/>
    </row>
    <row r="14" customFormat="false" ht="15" hidden="false" customHeight="false" outlineLevel="0" collapsed="false">
      <c r="A14" s="17" t="s">
        <v>464</v>
      </c>
      <c r="B14" s="18" t="s">
        <v>91</v>
      </c>
      <c r="C14" s="18" t="s">
        <v>12</v>
      </c>
      <c r="D14" s="17" t="s">
        <v>465</v>
      </c>
      <c r="E14" s="24" t="s">
        <v>16</v>
      </c>
      <c r="F14" s="17"/>
      <c r="G14" s="17" t="s">
        <v>446</v>
      </c>
      <c r="H14" s="17"/>
      <c r="I14" s="17"/>
      <c r="J14" s="17"/>
      <c r="K14" s="17" t="s">
        <v>58</v>
      </c>
      <c r="L14" s="17" t="n">
        <v>106</v>
      </c>
      <c r="M14" s="17" t="n">
        <v>9.7</v>
      </c>
      <c r="N14" s="17"/>
      <c r="O14" s="17"/>
    </row>
    <row r="15" customFormat="false" ht="15" hidden="false" customHeight="false" outlineLevel="0" collapsed="false">
      <c r="A15" s="17" t="s">
        <v>466</v>
      </c>
      <c r="B15" s="18" t="s">
        <v>91</v>
      </c>
      <c r="C15" s="18" t="s">
        <v>12</v>
      </c>
      <c r="D15" s="17" t="s">
        <v>467</v>
      </c>
      <c r="E15" s="24" t="s">
        <v>16</v>
      </c>
      <c r="F15" s="17"/>
      <c r="G15" s="17" t="s">
        <v>446</v>
      </c>
      <c r="H15" s="17"/>
      <c r="I15" s="17"/>
      <c r="J15" s="17"/>
      <c r="K15" s="17" t="s">
        <v>58</v>
      </c>
      <c r="L15" s="17" t="n">
        <v>127</v>
      </c>
      <c r="M15" s="17" t="n">
        <v>0</v>
      </c>
      <c r="N15" s="17"/>
      <c r="O15" s="17"/>
    </row>
    <row r="16" customFormat="false" ht="15" hidden="false" customHeight="false" outlineLevel="0" collapsed="false">
      <c r="A16" s="17" t="s">
        <v>468</v>
      </c>
      <c r="B16" s="18" t="s">
        <v>91</v>
      </c>
      <c r="C16" s="18" t="s">
        <v>12</v>
      </c>
      <c r="D16" s="17" t="s">
        <v>469</v>
      </c>
      <c r="E16" s="24" t="s">
        <v>16</v>
      </c>
      <c r="F16" s="17"/>
      <c r="G16" s="17" t="s">
        <v>446</v>
      </c>
      <c r="H16" s="17"/>
      <c r="I16" s="17"/>
      <c r="J16" s="17"/>
      <c r="K16" s="17" t="s">
        <v>58</v>
      </c>
      <c r="L16" s="17" t="n">
        <v>137</v>
      </c>
      <c r="M16" s="17" t="n">
        <v>0</v>
      </c>
      <c r="N16" s="17"/>
      <c r="O16" s="17"/>
    </row>
    <row r="17" customFormat="false" ht="15" hidden="false" customHeight="false" outlineLevel="0" collapsed="false">
      <c r="A17" s="17" t="s">
        <v>470</v>
      </c>
      <c r="B17" s="18" t="s">
        <v>91</v>
      </c>
      <c r="C17" s="18" t="s">
        <v>12</v>
      </c>
      <c r="D17" s="17" t="s">
        <v>471</v>
      </c>
      <c r="E17" s="24" t="s">
        <v>16</v>
      </c>
      <c r="F17" s="17"/>
      <c r="G17" s="17" t="s">
        <v>446</v>
      </c>
      <c r="H17" s="17"/>
      <c r="I17" s="17"/>
      <c r="J17" s="17"/>
      <c r="K17" s="17" t="s">
        <v>59</v>
      </c>
      <c r="L17" s="17" t="n">
        <v>232</v>
      </c>
      <c r="M17" s="17" t="n">
        <v>9.8</v>
      </c>
      <c r="N17" s="17"/>
      <c r="O17" s="17"/>
    </row>
    <row r="18" customFormat="false" ht="15" hidden="false" customHeight="false" outlineLevel="0" collapsed="false">
      <c r="A18" s="17" t="s">
        <v>472</v>
      </c>
      <c r="B18" s="18" t="s">
        <v>91</v>
      </c>
      <c r="C18" s="18" t="s">
        <v>12</v>
      </c>
      <c r="D18" s="17" t="s">
        <v>473</v>
      </c>
      <c r="E18" s="24" t="s">
        <v>16</v>
      </c>
      <c r="F18" s="17"/>
      <c r="G18" s="17" t="s">
        <v>446</v>
      </c>
      <c r="H18" s="17"/>
      <c r="I18" s="17"/>
      <c r="J18" s="17"/>
      <c r="K18" s="17" t="s">
        <v>59</v>
      </c>
      <c r="L18" s="17" t="n">
        <v>232</v>
      </c>
      <c r="M18" s="17" t="n">
        <v>9.9</v>
      </c>
      <c r="N18" s="17"/>
      <c r="O18" s="17"/>
    </row>
    <row r="19" customFormat="false" ht="23.85" hidden="false" customHeight="false" outlineLevel="0" collapsed="false">
      <c r="A19" s="17" t="s">
        <v>474</v>
      </c>
      <c r="B19" s="18" t="s">
        <v>91</v>
      </c>
      <c r="C19" s="18" t="s">
        <v>12</v>
      </c>
      <c r="D19" s="17" t="s">
        <v>475</v>
      </c>
      <c r="E19" s="24" t="s">
        <v>16</v>
      </c>
      <c r="F19" s="17"/>
      <c r="G19" s="17" t="s">
        <v>446</v>
      </c>
      <c r="H19" s="17"/>
      <c r="I19" s="17"/>
      <c r="J19" s="17"/>
      <c r="K19" s="17" t="s">
        <v>59</v>
      </c>
      <c r="L19" s="17" t="n">
        <v>232</v>
      </c>
      <c r="M19" s="17" t="n">
        <v>9.9</v>
      </c>
      <c r="N19" s="17"/>
      <c r="O19" s="17"/>
    </row>
    <row r="20" customFormat="false" ht="15" hidden="false" customHeight="false" outlineLevel="0" collapsed="false">
      <c r="A20" s="17" t="s">
        <v>476</v>
      </c>
      <c r="B20" s="18" t="s">
        <v>91</v>
      </c>
      <c r="C20" s="18" t="s">
        <v>12</v>
      </c>
      <c r="D20" s="17" t="s">
        <v>477</v>
      </c>
      <c r="E20" s="24" t="s">
        <v>16</v>
      </c>
      <c r="F20" s="17"/>
      <c r="G20" s="17" t="s">
        <v>446</v>
      </c>
      <c r="H20" s="17"/>
      <c r="I20" s="17"/>
      <c r="J20" s="17"/>
      <c r="K20" s="17" t="s">
        <v>59</v>
      </c>
      <c r="L20" s="17" t="n">
        <v>269</v>
      </c>
      <c r="M20" s="17" t="n">
        <v>9.7</v>
      </c>
      <c r="N20" s="17"/>
      <c r="O20" s="17"/>
    </row>
    <row r="21" customFormat="false" ht="15" hidden="false" customHeight="false" outlineLevel="0" collapsed="false">
      <c r="A21" s="17" t="s">
        <v>478</v>
      </c>
      <c r="B21" s="18" t="s">
        <v>91</v>
      </c>
      <c r="C21" s="18" t="s">
        <v>12</v>
      </c>
      <c r="D21" s="17" t="s">
        <v>479</v>
      </c>
      <c r="E21" s="24" t="s">
        <v>16</v>
      </c>
      <c r="F21" s="17"/>
      <c r="G21" s="17" t="s">
        <v>446</v>
      </c>
      <c r="H21" s="17"/>
      <c r="I21" s="17"/>
      <c r="J21" s="17"/>
      <c r="K21" s="17" t="s">
        <v>59</v>
      </c>
      <c r="L21" s="17" t="n">
        <v>269</v>
      </c>
      <c r="M21" s="17" t="n">
        <v>9.9</v>
      </c>
      <c r="N21" s="17"/>
      <c r="O21" s="17"/>
    </row>
    <row r="22" customFormat="false" ht="15" hidden="false" customHeight="false" outlineLevel="0" collapsed="false">
      <c r="A22" s="17" t="s">
        <v>480</v>
      </c>
      <c r="B22" s="18" t="s">
        <v>91</v>
      </c>
      <c r="C22" s="18" t="s">
        <v>12</v>
      </c>
      <c r="D22" s="17" t="s">
        <v>481</v>
      </c>
      <c r="E22" s="24" t="s">
        <v>16</v>
      </c>
      <c r="F22" s="17"/>
      <c r="G22" s="17" t="s">
        <v>446</v>
      </c>
      <c r="H22" s="17"/>
      <c r="I22" s="17"/>
      <c r="J22" s="17"/>
      <c r="K22" s="17" t="s">
        <v>59</v>
      </c>
      <c r="L22" s="17" t="n">
        <v>269</v>
      </c>
      <c r="M22" s="17" t="n">
        <v>9.9</v>
      </c>
      <c r="N22" s="17"/>
      <c r="O22" s="17"/>
    </row>
    <row r="23" customFormat="false" ht="15" hidden="false" customHeight="false" outlineLevel="0" collapsed="false">
      <c r="A23" s="17" t="s">
        <v>482</v>
      </c>
      <c r="B23" s="18" t="s">
        <v>91</v>
      </c>
      <c r="C23" s="18" t="s">
        <v>12</v>
      </c>
      <c r="D23" s="17" t="s">
        <v>483</v>
      </c>
      <c r="E23" s="24" t="s">
        <v>16</v>
      </c>
      <c r="F23" s="17"/>
      <c r="G23" s="17" t="s">
        <v>446</v>
      </c>
      <c r="H23" s="17"/>
      <c r="I23" s="17"/>
      <c r="J23" s="17"/>
      <c r="K23" s="17" t="s">
        <v>59</v>
      </c>
      <c r="L23" s="17" t="n">
        <v>269</v>
      </c>
      <c r="M23" s="17" t="n">
        <v>9.7</v>
      </c>
      <c r="N23" s="17"/>
      <c r="O23" s="17"/>
    </row>
    <row r="24" customFormat="false" ht="23.85" hidden="false" customHeight="false" outlineLevel="0" collapsed="false">
      <c r="A24" s="17" t="s">
        <v>484</v>
      </c>
      <c r="B24" s="18" t="s">
        <v>91</v>
      </c>
      <c r="C24" s="18" t="s">
        <v>12</v>
      </c>
      <c r="D24" s="17" t="s">
        <v>485</v>
      </c>
      <c r="E24" s="24" t="s">
        <v>16</v>
      </c>
      <c r="F24" s="17"/>
      <c r="G24" s="17" t="s">
        <v>446</v>
      </c>
      <c r="H24" s="17"/>
      <c r="I24" s="17"/>
      <c r="J24" s="17"/>
      <c r="K24" s="17" t="s">
        <v>59</v>
      </c>
      <c r="L24" s="17" t="n">
        <v>269</v>
      </c>
      <c r="M24" s="17" t="n">
        <v>9.9</v>
      </c>
      <c r="N24" s="17"/>
      <c r="O24" s="17"/>
    </row>
    <row r="25" customFormat="false" ht="15" hidden="false" customHeight="false" outlineLevel="0" collapsed="false">
      <c r="A25" s="17" t="s">
        <v>486</v>
      </c>
      <c r="B25" s="18" t="s">
        <v>91</v>
      </c>
      <c r="C25" s="18" t="s">
        <v>12</v>
      </c>
      <c r="D25" s="17" t="s">
        <v>487</v>
      </c>
      <c r="E25" s="24" t="s">
        <v>16</v>
      </c>
      <c r="F25" s="17"/>
      <c r="G25" s="17" t="s">
        <v>446</v>
      </c>
      <c r="H25" s="17"/>
      <c r="I25" s="17"/>
      <c r="J25" s="17"/>
      <c r="K25" s="17" t="s">
        <v>59</v>
      </c>
      <c r="L25" s="17" t="n">
        <v>269</v>
      </c>
      <c r="M25" s="17" t="n">
        <v>9.7</v>
      </c>
      <c r="N25" s="17"/>
      <c r="O25" s="17"/>
    </row>
    <row r="26" customFormat="false" ht="15" hidden="false" customHeight="false" outlineLevel="0" collapsed="false">
      <c r="A26" s="17" t="s">
        <v>488</v>
      </c>
      <c r="B26" s="18" t="s">
        <v>91</v>
      </c>
      <c r="C26" s="18" t="s">
        <v>12</v>
      </c>
      <c r="D26" s="17" t="s">
        <v>489</v>
      </c>
      <c r="E26" s="24" t="s">
        <v>16</v>
      </c>
      <c r="F26" s="17"/>
      <c r="G26" s="17" t="s">
        <v>446</v>
      </c>
      <c r="H26" s="17"/>
      <c r="I26" s="17"/>
      <c r="J26" s="17"/>
      <c r="K26" s="17" t="s">
        <v>59</v>
      </c>
      <c r="L26" s="17" t="n">
        <v>305</v>
      </c>
      <c r="M26" s="17" t="n">
        <v>9.8</v>
      </c>
      <c r="N26" s="17"/>
      <c r="O26" s="17"/>
    </row>
    <row r="27" customFormat="false" ht="15" hidden="false" customHeight="false" outlineLevel="0" collapsed="false">
      <c r="A27" s="17" t="s">
        <v>490</v>
      </c>
      <c r="B27" s="18" t="s">
        <v>91</v>
      </c>
      <c r="C27" s="18" t="s">
        <v>12</v>
      </c>
      <c r="D27" s="17" t="s">
        <v>491</v>
      </c>
      <c r="E27" s="24" t="s">
        <v>16</v>
      </c>
      <c r="F27" s="17"/>
      <c r="G27" s="17" t="s">
        <v>446</v>
      </c>
      <c r="H27" s="17"/>
      <c r="I27" s="17"/>
      <c r="J27" s="17"/>
      <c r="K27" s="17" t="s">
        <v>59</v>
      </c>
      <c r="L27" s="17" t="n">
        <v>305</v>
      </c>
      <c r="M27" s="17" t="n">
        <v>9.7</v>
      </c>
      <c r="N27" s="17"/>
      <c r="O27" s="17"/>
    </row>
    <row r="28" customFormat="false" ht="15" hidden="false" customHeight="false" outlineLevel="0" collapsed="false">
      <c r="A28" s="17" t="s">
        <v>492</v>
      </c>
      <c r="B28" s="18" t="s">
        <v>91</v>
      </c>
      <c r="C28" s="18" t="s">
        <v>12</v>
      </c>
      <c r="D28" s="17" t="s">
        <v>493</v>
      </c>
      <c r="E28" s="24" t="s">
        <v>16</v>
      </c>
      <c r="F28" s="17"/>
      <c r="G28" s="17" t="s">
        <v>446</v>
      </c>
      <c r="H28" s="17"/>
      <c r="I28" s="17"/>
      <c r="J28" s="17"/>
      <c r="K28" s="17" t="s">
        <v>59</v>
      </c>
      <c r="L28" s="17" t="n">
        <v>305</v>
      </c>
      <c r="M28" s="17" t="n">
        <v>9.8</v>
      </c>
      <c r="N28" s="17"/>
      <c r="O28" s="17"/>
    </row>
    <row r="29" customFormat="false" ht="15" hidden="false" customHeight="false" outlineLevel="0" collapsed="false">
      <c r="A29" s="17" t="s">
        <v>494</v>
      </c>
      <c r="B29" s="18" t="s">
        <v>91</v>
      </c>
      <c r="C29" s="18" t="s">
        <v>12</v>
      </c>
      <c r="D29" s="17" t="s">
        <v>495</v>
      </c>
      <c r="E29" s="24" t="s">
        <v>16</v>
      </c>
      <c r="F29" s="17"/>
      <c r="G29" s="17" t="s">
        <v>446</v>
      </c>
      <c r="H29" s="17"/>
      <c r="I29" s="17"/>
      <c r="J29" s="17"/>
      <c r="K29" s="17" t="s">
        <v>59</v>
      </c>
      <c r="L29" s="17" t="n">
        <v>324</v>
      </c>
      <c r="M29" s="17" t="n">
        <v>9.9</v>
      </c>
      <c r="N29" s="17"/>
      <c r="O29" s="17"/>
    </row>
    <row r="30" customFormat="false" ht="15" hidden="false" customHeight="false" outlineLevel="0" collapsed="false">
      <c r="A30" s="17" t="s">
        <v>496</v>
      </c>
      <c r="B30" s="18" t="s">
        <v>91</v>
      </c>
      <c r="C30" s="18" t="s">
        <v>12</v>
      </c>
      <c r="D30" s="17" t="s">
        <v>497</v>
      </c>
      <c r="E30" s="24" t="s">
        <v>16</v>
      </c>
      <c r="F30" s="17"/>
      <c r="G30" s="17" t="s">
        <v>446</v>
      </c>
      <c r="H30" s="17"/>
      <c r="I30" s="17"/>
      <c r="J30" s="17"/>
      <c r="K30" s="17" t="s">
        <v>59</v>
      </c>
      <c r="L30" s="17" t="n">
        <v>324</v>
      </c>
      <c r="M30" s="17" t="n">
        <v>9.9</v>
      </c>
      <c r="N30" s="17"/>
      <c r="O30" s="17"/>
    </row>
    <row r="31" customFormat="false" ht="15" hidden="false" customHeight="false" outlineLevel="0" collapsed="false">
      <c r="A31" s="17" t="s">
        <v>498</v>
      </c>
      <c r="B31" s="18" t="s">
        <v>91</v>
      </c>
      <c r="C31" s="18" t="s">
        <v>12</v>
      </c>
      <c r="D31" s="17" t="s">
        <v>499</v>
      </c>
      <c r="E31" s="24" t="s">
        <v>16</v>
      </c>
      <c r="F31" s="17"/>
      <c r="G31" s="17" t="s">
        <v>446</v>
      </c>
      <c r="H31" s="17"/>
      <c r="I31" s="17"/>
      <c r="J31" s="17"/>
      <c r="K31" s="17" t="s">
        <v>59</v>
      </c>
      <c r="L31" s="17" t="n">
        <v>324</v>
      </c>
      <c r="M31" s="17" t="n">
        <v>9.8</v>
      </c>
      <c r="N31" s="17"/>
      <c r="O31" s="17"/>
    </row>
    <row r="32" customFormat="false" ht="15" hidden="false" customHeight="false" outlineLevel="0" collapsed="false">
      <c r="A32" s="17" t="s">
        <v>500</v>
      </c>
      <c r="B32" s="18" t="s">
        <v>91</v>
      </c>
      <c r="C32" s="18" t="s">
        <v>12</v>
      </c>
      <c r="D32" s="17" t="s">
        <v>501</v>
      </c>
      <c r="E32" s="24" t="s">
        <v>16</v>
      </c>
      <c r="F32" s="17"/>
      <c r="G32" s="17" t="s">
        <v>446</v>
      </c>
      <c r="H32" s="17"/>
      <c r="I32" s="17"/>
      <c r="J32" s="17"/>
      <c r="K32" s="17" t="s">
        <v>59</v>
      </c>
      <c r="L32" s="17" t="n">
        <v>324</v>
      </c>
      <c r="M32" s="17" t="n">
        <v>9.9</v>
      </c>
      <c r="N32" s="17"/>
      <c r="O32" s="17"/>
    </row>
    <row r="33" customFormat="false" ht="15" hidden="false" customHeight="false" outlineLevel="0" collapsed="false">
      <c r="A33" s="17" t="s">
        <v>502</v>
      </c>
      <c r="B33" s="18" t="s">
        <v>91</v>
      </c>
      <c r="C33" s="18" t="s">
        <v>12</v>
      </c>
      <c r="D33" s="17" t="s">
        <v>503</v>
      </c>
      <c r="E33" s="24" t="s">
        <v>16</v>
      </c>
      <c r="F33" s="17"/>
      <c r="G33" s="17" t="s">
        <v>446</v>
      </c>
      <c r="H33" s="17"/>
      <c r="I33" s="17"/>
      <c r="J33" s="17"/>
      <c r="K33" s="17" t="s">
        <v>59</v>
      </c>
      <c r="L33" s="17" t="n">
        <v>324</v>
      </c>
      <c r="M33" s="17" t="n">
        <v>9.7</v>
      </c>
      <c r="N33" s="17"/>
      <c r="O33" s="17"/>
    </row>
    <row r="34" customFormat="false" ht="15" hidden="false" customHeight="false" outlineLevel="0" collapsed="false">
      <c r="A34" s="17" t="s">
        <v>504</v>
      </c>
      <c r="B34" s="18" t="s">
        <v>91</v>
      </c>
      <c r="C34" s="18" t="s">
        <v>12</v>
      </c>
      <c r="D34" s="17" t="s">
        <v>505</v>
      </c>
      <c r="E34" s="24" t="s">
        <v>16</v>
      </c>
      <c r="F34" s="17"/>
      <c r="G34" s="17" t="s">
        <v>446</v>
      </c>
      <c r="H34" s="17"/>
      <c r="I34" s="17"/>
      <c r="J34" s="17"/>
      <c r="K34" s="17" t="s">
        <v>59</v>
      </c>
      <c r="L34" s="17" t="n">
        <v>336</v>
      </c>
      <c r="M34" s="17" t="n">
        <v>10.8</v>
      </c>
      <c r="N34" s="17"/>
      <c r="O34" s="17"/>
    </row>
    <row r="35" customFormat="false" ht="15" hidden="false" customHeight="false" outlineLevel="0" collapsed="false">
      <c r="A35" s="17" t="s">
        <v>414</v>
      </c>
      <c r="B35" s="18" t="s">
        <v>91</v>
      </c>
      <c r="C35" s="18" t="s">
        <v>12</v>
      </c>
      <c r="D35" s="17" t="s">
        <v>506</v>
      </c>
      <c r="E35" s="24" t="s">
        <v>16</v>
      </c>
      <c r="F35" s="17"/>
      <c r="G35" s="17" t="s">
        <v>446</v>
      </c>
      <c r="H35" s="17"/>
      <c r="I35" s="17"/>
      <c r="J35" s="17"/>
      <c r="K35" s="17" t="s">
        <v>59</v>
      </c>
      <c r="L35" s="17" t="n">
        <v>336</v>
      </c>
      <c r="M35" s="17" t="n">
        <v>10.9</v>
      </c>
      <c r="N35" s="17"/>
      <c r="O35" s="17"/>
    </row>
    <row r="36" customFormat="false" ht="15" hidden="false" customHeight="false" outlineLevel="0" collapsed="false">
      <c r="A36" s="17" t="s">
        <v>417</v>
      </c>
      <c r="B36" s="18" t="s">
        <v>91</v>
      </c>
      <c r="C36" s="18" t="s">
        <v>12</v>
      </c>
      <c r="D36" s="17" t="s">
        <v>507</v>
      </c>
      <c r="E36" s="24" t="s">
        <v>16</v>
      </c>
      <c r="F36" s="17"/>
      <c r="G36" s="17" t="s">
        <v>446</v>
      </c>
      <c r="H36" s="17"/>
      <c r="I36" s="17"/>
      <c r="J36" s="17"/>
      <c r="K36" s="17" t="s">
        <v>59</v>
      </c>
      <c r="L36" s="17" t="n">
        <v>336</v>
      </c>
      <c r="M36" s="17" t="n">
        <v>9.7</v>
      </c>
      <c r="N36" s="17"/>
      <c r="O36" s="17"/>
    </row>
    <row r="37" customFormat="false" ht="15" hidden="false" customHeight="false" outlineLevel="0" collapsed="false">
      <c r="A37" s="17" t="s">
        <v>420</v>
      </c>
      <c r="B37" s="18" t="s">
        <v>91</v>
      </c>
      <c r="C37" s="18" t="s">
        <v>12</v>
      </c>
      <c r="D37" s="17" t="s">
        <v>508</v>
      </c>
      <c r="E37" s="24" t="s">
        <v>16</v>
      </c>
      <c r="F37" s="17"/>
      <c r="G37" s="17" t="s">
        <v>446</v>
      </c>
      <c r="H37" s="17"/>
      <c r="I37" s="17"/>
      <c r="J37" s="17"/>
      <c r="K37" s="17" t="s">
        <v>59</v>
      </c>
      <c r="L37" s="17" t="n">
        <v>336</v>
      </c>
      <c r="M37" s="17" t="n">
        <v>9.8</v>
      </c>
      <c r="N37" s="17"/>
      <c r="O37" s="17"/>
    </row>
    <row r="38" customFormat="false" ht="15" hidden="false" customHeight="false" outlineLevel="0" collapsed="false">
      <c r="A38" s="17" t="s">
        <v>423</v>
      </c>
      <c r="B38" s="18" t="s">
        <v>91</v>
      </c>
      <c r="C38" s="18" t="s">
        <v>12</v>
      </c>
      <c r="D38" s="17" t="s">
        <v>509</v>
      </c>
      <c r="E38" s="24" t="s">
        <v>16</v>
      </c>
      <c r="F38" s="17"/>
      <c r="G38" s="17" t="s">
        <v>446</v>
      </c>
      <c r="H38" s="17"/>
      <c r="I38" s="17"/>
      <c r="J38" s="17"/>
      <c r="K38" s="17" t="s">
        <v>59</v>
      </c>
      <c r="L38" s="17" t="n">
        <v>336</v>
      </c>
      <c r="M38" s="17" t="n">
        <v>9.7</v>
      </c>
      <c r="N38" s="17"/>
      <c r="O38" s="17"/>
    </row>
    <row r="39" customFormat="false" ht="15" hidden="false" customHeight="false" outlineLevel="0" collapsed="false">
      <c r="A39" s="17" t="s">
        <v>510</v>
      </c>
      <c r="B39" s="18" t="s">
        <v>91</v>
      </c>
      <c r="C39" s="18" t="s">
        <v>12</v>
      </c>
      <c r="D39" s="17" t="s">
        <v>511</v>
      </c>
      <c r="E39" s="24" t="s">
        <v>16</v>
      </c>
      <c r="F39" s="17"/>
      <c r="G39" s="17" t="s">
        <v>446</v>
      </c>
      <c r="H39" s="17"/>
      <c r="I39" s="17"/>
      <c r="J39" s="17"/>
      <c r="K39" s="17" t="s">
        <v>59</v>
      </c>
      <c r="L39" s="17" t="n">
        <v>354</v>
      </c>
      <c r="M39" s="17" t="n">
        <v>9.9</v>
      </c>
      <c r="N39" s="17"/>
      <c r="O39" s="17"/>
    </row>
    <row r="40" customFormat="false" ht="15" hidden="false" customHeight="false" outlineLevel="0" collapsed="false">
      <c r="A40" s="17" t="s">
        <v>512</v>
      </c>
      <c r="B40" s="18" t="s">
        <v>91</v>
      </c>
      <c r="C40" s="18" t="s">
        <v>12</v>
      </c>
      <c r="D40" s="17" t="s">
        <v>513</v>
      </c>
      <c r="E40" s="24" t="s">
        <v>16</v>
      </c>
      <c r="F40" s="17"/>
      <c r="G40" s="17" t="s">
        <v>446</v>
      </c>
      <c r="H40" s="17"/>
      <c r="I40" s="17"/>
      <c r="J40" s="17"/>
      <c r="K40" s="17" t="s">
        <v>59</v>
      </c>
      <c r="L40" s="17" t="n">
        <v>354</v>
      </c>
      <c r="M40" s="17" t="n">
        <v>9.7</v>
      </c>
      <c r="N40" s="17"/>
      <c r="O40" s="17"/>
    </row>
    <row r="41" customFormat="false" ht="15" hidden="false" customHeight="false" outlineLevel="0" collapsed="false">
      <c r="A41" s="17" t="s">
        <v>514</v>
      </c>
      <c r="B41" s="18" t="s">
        <v>91</v>
      </c>
      <c r="C41" s="18" t="s">
        <v>12</v>
      </c>
      <c r="D41" s="17" t="s">
        <v>515</v>
      </c>
      <c r="E41" s="24" t="s">
        <v>16</v>
      </c>
      <c r="F41" s="17"/>
      <c r="G41" s="17" t="s">
        <v>446</v>
      </c>
      <c r="H41" s="17"/>
      <c r="I41" s="17"/>
      <c r="J41" s="17"/>
      <c r="K41" s="17" t="s">
        <v>59</v>
      </c>
      <c r="L41" s="17" t="n">
        <v>354</v>
      </c>
      <c r="M41" s="17" t="n">
        <v>9.8</v>
      </c>
      <c r="N41" s="17"/>
      <c r="O41" s="17"/>
    </row>
    <row r="42" customFormat="false" ht="15" hidden="false" customHeight="false" outlineLevel="0" collapsed="false">
      <c r="A42" s="17" t="s">
        <v>516</v>
      </c>
      <c r="B42" s="18" t="s">
        <v>91</v>
      </c>
      <c r="C42" s="18" t="s">
        <v>12</v>
      </c>
      <c r="D42" s="17" t="s">
        <v>517</v>
      </c>
      <c r="E42" s="24" t="s">
        <v>16</v>
      </c>
      <c r="F42" s="17"/>
      <c r="G42" s="17" t="s">
        <v>446</v>
      </c>
      <c r="H42" s="17"/>
      <c r="I42" s="17"/>
      <c r="J42" s="17"/>
      <c r="K42" s="17" t="s">
        <v>59</v>
      </c>
      <c r="L42" s="17" t="n">
        <v>354</v>
      </c>
      <c r="M42" s="17" t="n">
        <v>9.7</v>
      </c>
      <c r="N42" s="17"/>
      <c r="O42" s="17"/>
    </row>
    <row r="43" customFormat="false" ht="15" hidden="false" customHeight="false" outlineLevel="0" collapsed="false">
      <c r="A43" s="17" t="s">
        <v>518</v>
      </c>
      <c r="B43" s="18" t="s">
        <v>91</v>
      </c>
      <c r="C43" s="18" t="s">
        <v>12</v>
      </c>
      <c r="D43" s="17" t="s">
        <v>519</v>
      </c>
      <c r="E43" s="24" t="s">
        <v>16</v>
      </c>
      <c r="F43" s="17"/>
      <c r="G43" s="17" t="s">
        <v>446</v>
      </c>
      <c r="H43" s="17"/>
      <c r="I43" s="17"/>
      <c r="J43" s="17"/>
      <c r="K43" s="17" t="s">
        <v>59</v>
      </c>
      <c r="L43" s="17" t="n">
        <v>354</v>
      </c>
      <c r="M43" s="17" t="n">
        <v>9.8</v>
      </c>
      <c r="N43" s="17"/>
      <c r="O43" s="17"/>
    </row>
    <row r="44" customFormat="false" ht="15" hidden="false" customHeight="false" outlineLevel="0" collapsed="false">
      <c r="A44" s="17" t="s">
        <v>520</v>
      </c>
      <c r="B44" s="18" t="s">
        <v>91</v>
      </c>
      <c r="C44" s="18" t="s">
        <v>12</v>
      </c>
      <c r="D44" s="17" t="s">
        <v>521</v>
      </c>
      <c r="E44" s="24" t="s">
        <v>16</v>
      </c>
      <c r="F44" s="17"/>
      <c r="G44" s="17" t="s">
        <v>446</v>
      </c>
      <c r="H44" s="17"/>
      <c r="I44" s="17"/>
      <c r="J44" s="17"/>
      <c r="K44" s="17" t="s">
        <v>59</v>
      </c>
      <c r="L44" s="17" t="n">
        <v>354</v>
      </c>
      <c r="M44" s="17" t="n">
        <v>9.7</v>
      </c>
      <c r="N44" s="17"/>
      <c r="O44" s="17"/>
    </row>
    <row r="45" customFormat="false" ht="15" hidden="false" customHeight="false" outlineLevel="0" collapsed="false">
      <c r="A45" s="17" t="s">
        <v>522</v>
      </c>
      <c r="B45" s="18" t="s">
        <v>91</v>
      </c>
      <c r="C45" s="18" t="s">
        <v>12</v>
      </c>
      <c r="D45" s="17" t="s">
        <v>523</v>
      </c>
      <c r="E45" s="24" t="s">
        <v>16</v>
      </c>
      <c r="F45" s="17"/>
      <c r="G45" s="17" t="s">
        <v>446</v>
      </c>
      <c r="H45" s="17"/>
      <c r="I45" s="17"/>
      <c r="J45" s="17"/>
      <c r="K45" s="17" t="s">
        <v>60</v>
      </c>
      <c r="L45" s="17" t="n">
        <v>68</v>
      </c>
      <c r="M45" s="17" t="n">
        <v>22.6</v>
      </c>
      <c r="N45" s="17"/>
      <c r="O45" s="17"/>
    </row>
    <row r="46" customFormat="false" ht="15" hidden="false" customHeight="false" outlineLevel="0" collapsed="false">
      <c r="A46" s="17" t="s">
        <v>524</v>
      </c>
      <c r="B46" s="18" t="s">
        <v>91</v>
      </c>
      <c r="C46" s="18" t="s">
        <v>12</v>
      </c>
      <c r="D46" s="17" t="s">
        <v>525</v>
      </c>
      <c r="E46" s="24" t="s">
        <v>16</v>
      </c>
      <c r="F46" s="17"/>
      <c r="G46" s="17" t="s">
        <v>446</v>
      </c>
      <c r="H46" s="17"/>
      <c r="I46" s="17"/>
      <c r="J46" s="17"/>
      <c r="K46" s="17" t="s">
        <v>60</v>
      </c>
      <c r="L46" s="17" t="n">
        <v>100</v>
      </c>
      <c r="M46" s="17" t="n">
        <v>6.9</v>
      </c>
      <c r="N46" s="17"/>
      <c r="O46" s="17"/>
    </row>
    <row r="47" customFormat="false" ht="15" hidden="false" customHeight="false" outlineLevel="0" collapsed="false">
      <c r="A47" s="17" t="s">
        <v>526</v>
      </c>
      <c r="B47" s="18" t="s">
        <v>91</v>
      </c>
      <c r="C47" s="18" t="s">
        <v>12</v>
      </c>
      <c r="D47" s="17" t="s">
        <v>527</v>
      </c>
      <c r="E47" s="24" t="s">
        <v>16</v>
      </c>
      <c r="F47" s="17"/>
      <c r="G47" s="17" t="s">
        <v>446</v>
      </c>
      <c r="H47" s="17"/>
      <c r="I47" s="17"/>
      <c r="J47" s="17"/>
      <c r="K47" s="17" t="s">
        <v>60</v>
      </c>
      <c r="L47" s="17" t="n">
        <v>112</v>
      </c>
      <c r="M47" s="17" t="n">
        <v>9.5</v>
      </c>
      <c r="N47" s="17"/>
      <c r="O47" s="17"/>
    </row>
    <row r="48" customFormat="false" ht="15" hidden="false" customHeight="false" outlineLevel="0" collapsed="false">
      <c r="A48" s="17" t="s">
        <v>528</v>
      </c>
      <c r="B48" s="18" t="s">
        <v>91</v>
      </c>
      <c r="C48" s="18" t="s">
        <v>12</v>
      </c>
      <c r="D48" s="17" t="s">
        <v>529</v>
      </c>
      <c r="E48" s="24" t="s">
        <v>16</v>
      </c>
      <c r="F48" s="17"/>
      <c r="G48" s="17" t="s">
        <v>446</v>
      </c>
      <c r="H48" s="17"/>
      <c r="I48" s="17"/>
      <c r="J48" s="17"/>
      <c r="K48" s="17" t="s">
        <v>60</v>
      </c>
      <c r="L48" s="17" t="n">
        <v>137</v>
      </c>
      <c r="M48" s="17" t="n">
        <v>6.9</v>
      </c>
      <c r="N48" s="17"/>
      <c r="O48" s="17"/>
    </row>
    <row r="49" customFormat="false" ht="15" hidden="false" customHeight="false" outlineLevel="0" collapsed="false">
      <c r="A49" s="17" t="s">
        <v>530</v>
      </c>
      <c r="B49" s="18" t="s">
        <v>91</v>
      </c>
      <c r="C49" s="18" t="s">
        <v>12</v>
      </c>
      <c r="D49" s="17" t="s">
        <v>531</v>
      </c>
      <c r="E49" s="24" t="s">
        <v>16</v>
      </c>
      <c r="F49" s="17"/>
      <c r="G49" s="17" t="s">
        <v>446</v>
      </c>
      <c r="H49" s="17"/>
      <c r="I49" s="17"/>
      <c r="J49" s="17"/>
      <c r="K49" s="17" t="s">
        <v>60</v>
      </c>
      <c r="L49" s="17" t="n">
        <v>147</v>
      </c>
      <c r="M49" s="17" t="n">
        <v>7</v>
      </c>
      <c r="N49" s="17"/>
      <c r="O49" s="17"/>
    </row>
    <row r="50" customFormat="false" ht="15" hidden="false" customHeight="false" outlineLevel="0" collapsed="false">
      <c r="A50" s="17" t="s">
        <v>532</v>
      </c>
      <c r="B50" s="18" t="s">
        <v>91</v>
      </c>
      <c r="C50" s="18" t="s">
        <v>12</v>
      </c>
      <c r="D50" s="17" t="s">
        <v>533</v>
      </c>
      <c r="E50" s="24" t="s">
        <v>16</v>
      </c>
      <c r="F50" s="17"/>
      <c r="G50" s="17" t="s">
        <v>446</v>
      </c>
      <c r="H50" s="17"/>
      <c r="I50" s="17"/>
      <c r="J50" s="17"/>
      <c r="K50" s="17" t="s">
        <v>60</v>
      </c>
      <c r="L50" s="17" t="n">
        <v>186</v>
      </c>
      <c r="M50" s="17" t="n">
        <v>19.5</v>
      </c>
      <c r="N50" s="17"/>
      <c r="O50" s="17"/>
    </row>
    <row r="51" customFormat="false" ht="15" hidden="false" customHeight="false" outlineLevel="0" collapsed="false">
      <c r="A51" s="17" t="s">
        <v>534</v>
      </c>
      <c r="B51" s="18" t="s">
        <v>91</v>
      </c>
      <c r="C51" s="18" t="s">
        <v>12</v>
      </c>
      <c r="D51" s="17" t="s">
        <v>535</v>
      </c>
      <c r="E51" s="24" t="s">
        <v>16</v>
      </c>
      <c r="F51" s="17"/>
      <c r="G51" s="17" t="s">
        <v>446</v>
      </c>
      <c r="H51" s="17"/>
      <c r="I51" s="17"/>
      <c r="J51" s="17"/>
      <c r="K51" s="17" t="s">
        <v>60</v>
      </c>
      <c r="L51" s="17" t="n">
        <v>194</v>
      </c>
      <c r="M51" s="17" t="n">
        <v>19.6</v>
      </c>
      <c r="N51" s="17"/>
      <c r="O51" s="17"/>
    </row>
    <row r="52" customFormat="false" ht="15" hidden="false" customHeight="false" outlineLevel="0" collapsed="false">
      <c r="A52" s="17" t="s">
        <v>536</v>
      </c>
      <c r="B52" s="18" t="s">
        <v>91</v>
      </c>
      <c r="C52" s="18" t="s">
        <v>12</v>
      </c>
      <c r="D52" s="17" t="s">
        <v>537</v>
      </c>
      <c r="E52" s="24" t="s">
        <v>16</v>
      </c>
      <c r="F52" s="17"/>
      <c r="G52" s="17" t="s">
        <v>446</v>
      </c>
      <c r="H52" s="17"/>
      <c r="I52" s="17"/>
      <c r="J52" s="17"/>
      <c r="K52" s="17" t="s">
        <v>60</v>
      </c>
      <c r="L52" s="17" t="n">
        <v>203</v>
      </c>
      <c r="M52" s="17" t="n">
        <v>29.8</v>
      </c>
      <c r="N52" s="17"/>
      <c r="O52" s="17"/>
    </row>
    <row r="53" customFormat="false" ht="15" hidden="false" customHeight="false" outlineLevel="0" collapsed="false">
      <c r="A53" s="17" t="s">
        <v>538</v>
      </c>
      <c r="B53" s="18" t="s">
        <v>91</v>
      </c>
      <c r="C53" s="18" t="s">
        <v>12</v>
      </c>
      <c r="D53" s="17" t="s">
        <v>539</v>
      </c>
      <c r="E53" s="24" t="s">
        <v>16</v>
      </c>
      <c r="F53" s="17"/>
      <c r="G53" s="17" t="s">
        <v>446</v>
      </c>
      <c r="H53" s="17"/>
      <c r="I53" s="17"/>
      <c r="J53" s="17"/>
      <c r="K53" s="17" t="s">
        <v>60</v>
      </c>
      <c r="L53" s="17" t="n">
        <v>217</v>
      </c>
      <c r="M53" s="17" t="n">
        <v>30.6</v>
      </c>
      <c r="N53" s="17"/>
      <c r="O53" s="17"/>
    </row>
    <row r="54" customFormat="false" ht="15" hidden="false" customHeight="false" outlineLevel="0" collapsed="false">
      <c r="A54" s="17" t="s">
        <v>540</v>
      </c>
      <c r="B54" s="18" t="s">
        <v>91</v>
      </c>
      <c r="C54" s="18" t="s">
        <v>12</v>
      </c>
      <c r="D54" s="17" t="s">
        <v>541</v>
      </c>
      <c r="E54" s="24" t="s">
        <v>16</v>
      </c>
      <c r="F54" s="17"/>
      <c r="G54" s="17" t="s">
        <v>446</v>
      </c>
      <c r="H54" s="17"/>
      <c r="I54" s="17"/>
      <c r="J54" s="17"/>
      <c r="K54" s="17" t="s">
        <v>60</v>
      </c>
      <c r="L54" s="17" t="n">
        <v>229</v>
      </c>
      <c r="M54" s="17" t="n">
        <v>20.3</v>
      </c>
      <c r="N54" s="17"/>
      <c r="O54" s="17"/>
    </row>
    <row r="55" customFormat="false" ht="15" hidden="false" customHeight="false" outlineLevel="0" collapsed="false">
      <c r="A55" s="17" t="s">
        <v>542</v>
      </c>
      <c r="B55" s="18" t="s">
        <v>91</v>
      </c>
      <c r="C55" s="18" t="s">
        <v>12</v>
      </c>
      <c r="D55" s="17" t="s">
        <v>543</v>
      </c>
      <c r="E55" s="24" t="s">
        <v>16</v>
      </c>
      <c r="F55" s="17"/>
      <c r="G55" s="17" t="s">
        <v>446</v>
      </c>
      <c r="H55" s="17"/>
      <c r="I55" s="17"/>
      <c r="J55" s="17"/>
      <c r="K55" s="17" t="s">
        <v>60</v>
      </c>
      <c r="L55" s="17" t="n">
        <v>252</v>
      </c>
      <c r="M55" s="17" t="n">
        <v>38.5</v>
      </c>
      <c r="N55" s="17"/>
      <c r="O55" s="17"/>
    </row>
    <row r="56" customFormat="false" ht="15" hidden="false" customHeight="false" outlineLevel="0" collapsed="false">
      <c r="A56" s="17" t="s">
        <v>544</v>
      </c>
      <c r="B56" s="18" t="s">
        <v>91</v>
      </c>
      <c r="C56" s="18" t="s">
        <v>12</v>
      </c>
      <c r="D56" s="17" t="s">
        <v>545</v>
      </c>
      <c r="E56" s="24" t="s">
        <v>16</v>
      </c>
      <c r="F56" s="17"/>
      <c r="G56" s="17" t="s">
        <v>446</v>
      </c>
      <c r="H56" s="17"/>
      <c r="I56" s="17"/>
      <c r="J56" s="17"/>
      <c r="K56" s="17" t="s">
        <v>60</v>
      </c>
      <c r="L56" s="17" t="n">
        <v>276</v>
      </c>
      <c r="M56" s="17" t="n">
        <v>17.8</v>
      </c>
      <c r="N56" s="17"/>
      <c r="O56" s="17"/>
    </row>
    <row r="57" customFormat="false" ht="15" hidden="false" customHeight="false" outlineLevel="0" collapsed="false">
      <c r="A57" s="17" t="s">
        <v>546</v>
      </c>
      <c r="B57" s="18" t="s">
        <v>91</v>
      </c>
      <c r="C57" s="18" t="s">
        <v>12</v>
      </c>
      <c r="D57" s="17" t="s">
        <v>547</v>
      </c>
      <c r="E57" s="24" t="s">
        <v>16</v>
      </c>
      <c r="F57" s="17"/>
      <c r="G57" s="17" t="s">
        <v>446</v>
      </c>
      <c r="H57" s="17"/>
      <c r="I57" s="17"/>
      <c r="J57" s="17"/>
      <c r="K57" s="17" t="s">
        <v>60</v>
      </c>
      <c r="L57" s="17" t="n">
        <v>293</v>
      </c>
      <c r="M57" s="17" t="n">
        <v>18</v>
      </c>
      <c r="N57" s="17"/>
      <c r="O57" s="17"/>
    </row>
    <row r="58" customFormat="false" ht="15" hidden="false" customHeight="false" outlineLevel="0" collapsed="false">
      <c r="A58" s="17" t="s">
        <v>548</v>
      </c>
      <c r="B58" s="18" t="s">
        <v>91</v>
      </c>
      <c r="C58" s="18" t="s">
        <v>12</v>
      </c>
      <c r="D58" s="17" t="s">
        <v>549</v>
      </c>
      <c r="E58" s="24" t="s">
        <v>16</v>
      </c>
      <c r="F58" s="17"/>
      <c r="G58" s="17" t="s">
        <v>446</v>
      </c>
      <c r="H58" s="17"/>
      <c r="I58" s="17"/>
      <c r="J58" s="17"/>
      <c r="K58" s="17" t="s">
        <v>60</v>
      </c>
      <c r="L58" s="17" t="n">
        <v>305</v>
      </c>
      <c r="M58" s="17" t="n">
        <v>9.8</v>
      </c>
      <c r="N58" s="17"/>
      <c r="O58" s="17"/>
    </row>
    <row r="59" customFormat="false" ht="15" hidden="false" customHeight="false" outlineLevel="0" collapsed="false">
      <c r="A59" s="17" t="s">
        <v>550</v>
      </c>
      <c r="B59" s="18" t="s">
        <v>91</v>
      </c>
      <c r="C59" s="18" t="s">
        <v>12</v>
      </c>
      <c r="D59" s="17" t="s">
        <v>551</v>
      </c>
      <c r="E59" s="24" t="s">
        <v>16</v>
      </c>
      <c r="F59" s="17"/>
      <c r="G59" s="17" t="s">
        <v>446</v>
      </c>
      <c r="H59" s="17"/>
      <c r="I59" s="17"/>
      <c r="J59" s="17"/>
      <c r="K59" s="17" t="s">
        <v>60</v>
      </c>
      <c r="L59" s="17" t="n">
        <v>316</v>
      </c>
      <c r="M59" s="17" t="n">
        <v>6.7</v>
      </c>
      <c r="N59" s="17"/>
      <c r="O59" s="17"/>
    </row>
    <row r="60" customFormat="false" ht="15" hidden="false" customHeight="false" outlineLevel="0" collapsed="false">
      <c r="A60" s="17" t="s">
        <v>552</v>
      </c>
      <c r="B60" s="18" t="s">
        <v>91</v>
      </c>
      <c r="C60" s="18" t="s">
        <v>12</v>
      </c>
      <c r="D60" s="17" t="s">
        <v>553</v>
      </c>
      <c r="E60" s="24" t="s">
        <v>16</v>
      </c>
      <c r="F60" s="17"/>
      <c r="G60" s="17" t="s">
        <v>446</v>
      </c>
      <c r="H60" s="17"/>
      <c r="I60" s="17"/>
      <c r="J60" s="17"/>
      <c r="K60" s="17" t="s">
        <v>60</v>
      </c>
      <c r="L60" s="17" t="n">
        <v>330</v>
      </c>
      <c r="M60" s="17" t="n">
        <v>7</v>
      </c>
      <c r="N60" s="17"/>
      <c r="O60" s="17"/>
    </row>
    <row r="61" customFormat="false" ht="15" hidden="false" customHeight="false" outlineLevel="0" collapsed="false">
      <c r="A61" s="17" t="s">
        <v>554</v>
      </c>
      <c r="B61" s="18" t="s">
        <v>91</v>
      </c>
      <c r="C61" s="18" t="s">
        <v>12</v>
      </c>
      <c r="D61" s="17" t="s">
        <v>555</v>
      </c>
      <c r="E61" s="24" t="s">
        <v>16</v>
      </c>
      <c r="F61" s="17"/>
      <c r="G61" s="17" t="s">
        <v>446</v>
      </c>
      <c r="H61" s="17"/>
      <c r="I61" s="17"/>
      <c r="J61" s="17"/>
      <c r="K61" s="17" t="s">
        <v>60</v>
      </c>
      <c r="L61" s="17" t="n">
        <v>338</v>
      </c>
      <c r="M61" s="17" t="n">
        <v>9.1</v>
      </c>
      <c r="N61" s="17"/>
      <c r="O61" s="17"/>
    </row>
    <row r="62" customFormat="false" ht="15" hidden="false" customHeight="false" outlineLevel="0" collapsed="false">
      <c r="A62" s="17" t="s">
        <v>556</v>
      </c>
      <c r="B62" s="18" t="s">
        <v>91</v>
      </c>
      <c r="C62" s="18" t="s">
        <v>12</v>
      </c>
      <c r="D62" s="17" t="s">
        <v>557</v>
      </c>
      <c r="E62" s="24" t="s">
        <v>16</v>
      </c>
      <c r="F62" s="17"/>
      <c r="G62" s="17" t="s">
        <v>446</v>
      </c>
      <c r="H62" s="17"/>
      <c r="I62" s="17"/>
      <c r="J62" s="17"/>
      <c r="K62" s="17" t="s">
        <v>60</v>
      </c>
      <c r="L62" s="17" t="n">
        <v>351</v>
      </c>
      <c r="M62" s="17" t="n">
        <v>27.8</v>
      </c>
      <c r="N62" s="17"/>
      <c r="O62" s="17"/>
    </row>
    <row r="63" customFormat="false" ht="15" hidden="false" customHeight="false" outlineLevel="0" collapsed="false">
      <c r="A63" s="17" t="s">
        <v>558</v>
      </c>
      <c r="B63" s="18" t="s">
        <v>91</v>
      </c>
      <c r="C63" s="18" t="s">
        <v>12</v>
      </c>
      <c r="D63" s="17" t="s">
        <v>559</v>
      </c>
      <c r="E63" s="24" t="s">
        <v>16</v>
      </c>
      <c r="F63" s="17"/>
      <c r="G63" s="17" t="s">
        <v>446</v>
      </c>
      <c r="H63" s="17"/>
      <c r="I63" s="17"/>
      <c r="J63" s="17"/>
      <c r="K63" s="17" t="s">
        <v>60</v>
      </c>
      <c r="L63" s="17" t="n">
        <v>417</v>
      </c>
      <c r="M63" s="17" t="n">
        <v>13.6</v>
      </c>
      <c r="N63" s="17"/>
      <c r="O63" s="17"/>
    </row>
    <row r="64" customFormat="false" ht="15" hidden="false" customHeight="false" outlineLevel="0" collapsed="false">
      <c r="A64" s="17" t="s">
        <v>560</v>
      </c>
      <c r="B64" s="18" t="s">
        <v>91</v>
      </c>
      <c r="C64" s="18" t="s">
        <v>12</v>
      </c>
      <c r="D64" s="17" t="s">
        <v>561</v>
      </c>
      <c r="E64" s="24" t="s">
        <v>16</v>
      </c>
      <c r="F64" s="17"/>
      <c r="G64" s="17" t="s">
        <v>446</v>
      </c>
      <c r="H64" s="17"/>
      <c r="I64" s="17"/>
      <c r="J64" s="17"/>
      <c r="K64" s="17" t="s">
        <v>61</v>
      </c>
      <c r="L64" s="17" t="n">
        <v>28</v>
      </c>
      <c r="M64" s="17" t="n">
        <v>2.2</v>
      </c>
      <c r="N64" s="17"/>
      <c r="O64" s="17"/>
    </row>
    <row r="65" customFormat="false" ht="15" hidden="false" customHeight="false" outlineLevel="0" collapsed="false">
      <c r="A65" s="17" t="s">
        <v>562</v>
      </c>
      <c r="B65" s="18" t="s">
        <v>91</v>
      </c>
      <c r="C65" s="18" t="s">
        <v>12</v>
      </c>
      <c r="D65" s="17" t="s">
        <v>563</v>
      </c>
      <c r="E65" s="24" t="s">
        <v>16</v>
      </c>
      <c r="F65" s="17"/>
      <c r="G65" s="17" t="s">
        <v>446</v>
      </c>
      <c r="H65" s="17"/>
      <c r="I65" s="17"/>
      <c r="J65" s="17"/>
      <c r="K65" s="17" t="s">
        <v>61</v>
      </c>
      <c r="L65" s="17" t="n">
        <v>43</v>
      </c>
      <c r="M65" s="17" t="n">
        <v>2.3</v>
      </c>
      <c r="N65" s="17"/>
      <c r="O65" s="17"/>
    </row>
    <row r="66" customFormat="false" ht="15" hidden="false" customHeight="false" outlineLevel="0" collapsed="false">
      <c r="A66" s="17" t="s">
        <v>564</v>
      </c>
      <c r="B66" s="18" t="s">
        <v>91</v>
      </c>
      <c r="C66" s="18" t="s">
        <v>12</v>
      </c>
      <c r="D66" s="17" t="s">
        <v>565</v>
      </c>
      <c r="E66" s="24" t="s">
        <v>16</v>
      </c>
      <c r="F66" s="17"/>
      <c r="G66" s="17" t="s">
        <v>446</v>
      </c>
      <c r="H66" s="17"/>
      <c r="I66" s="17"/>
      <c r="J66" s="17"/>
      <c r="K66" s="17" t="s">
        <v>61</v>
      </c>
      <c r="L66" s="17" t="n">
        <v>51</v>
      </c>
      <c r="M66" s="17" t="n">
        <v>3.2</v>
      </c>
      <c r="N66" s="17"/>
      <c r="O66" s="17"/>
    </row>
    <row r="67" customFormat="false" ht="15" hidden="false" customHeight="false" outlineLevel="0" collapsed="false">
      <c r="A67" s="17" t="s">
        <v>566</v>
      </c>
      <c r="B67" s="18" t="s">
        <v>91</v>
      </c>
      <c r="C67" s="18" t="s">
        <v>12</v>
      </c>
      <c r="D67" s="17" t="s">
        <v>567</v>
      </c>
      <c r="E67" s="24" t="s">
        <v>16</v>
      </c>
      <c r="F67" s="17"/>
      <c r="G67" s="17" t="s">
        <v>446</v>
      </c>
      <c r="H67" s="17"/>
      <c r="I67" s="17"/>
      <c r="J67" s="17"/>
      <c r="K67" s="17" t="s">
        <v>61</v>
      </c>
      <c r="L67" s="17" t="n">
        <v>59</v>
      </c>
      <c r="M67" s="17" t="n">
        <v>3.1</v>
      </c>
      <c r="N67" s="17"/>
      <c r="O67" s="17"/>
    </row>
    <row r="68" customFormat="false" ht="15" hidden="false" customHeight="false" outlineLevel="0" collapsed="false">
      <c r="A68" s="17" t="s">
        <v>568</v>
      </c>
      <c r="B68" s="18" t="s">
        <v>91</v>
      </c>
      <c r="C68" s="18" t="s">
        <v>12</v>
      </c>
      <c r="D68" s="17" t="s">
        <v>569</v>
      </c>
      <c r="E68" s="24" t="s">
        <v>16</v>
      </c>
      <c r="F68" s="17"/>
      <c r="G68" s="17" t="s">
        <v>446</v>
      </c>
      <c r="H68" s="17"/>
      <c r="I68" s="17"/>
      <c r="J68" s="17"/>
      <c r="K68" s="17" t="s">
        <v>61</v>
      </c>
      <c r="L68" s="17" t="n">
        <v>67</v>
      </c>
      <c r="M68" s="17" t="n">
        <v>3.2</v>
      </c>
      <c r="N68" s="17"/>
      <c r="O68" s="17"/>
    </row>
    <row r="69" customFormat="false" ht="15" hidden="false" customHeight="false" outlineLevel="0" collapsed="false">
      <c r="A69" s="17" t="s">
        <v>570</v>
      </c>
      <c r="B69" s="18" t="s">
        <v>91</v>
      </c>
      <c r="C69" s="18" t="s">
        <v>12</v>
      </c>
      <c r="D69" s="17" t="s">
        <v>571</v>
      </c>
      <c r="E69" s="24" t="s">
        <v>16</v>
      </c>
      <c r="F69" s="17"/>
      <c r="G69" s="17" t="s">
        <v>446</v>
      </c>
      <c r="H69" s="17"/>
      <c r="I69" s="17"/>
      <c r="J69" s="17"/>
      <c r="K69" s="17" t="s">
        <v>61</v>
      </c>
      <c r="L69" s="17" t="n">
        <v>93</v>
      </c>
      <c r="M69" s="17" t="n">
        <v>10.2</v>
      </c>
      <c r="N69" s="17"/>
      <c r="O69" s="17"/>
    </row>
    <row r="70" customFormat="false" ht="15" hidden="false" customHeight="false" outlineLevel="0" collapsed="false">
      <c r="A70" s="17" t="s">
        <v>572</v>
      </c>
      <c r="B70" s="18" t="s">
        <v>91</v>
      </c>
      <c r="C70" s="18" t="s">
        <v>12</v>
      </c>
      <c r="D70" s="17" t="s">
        <v>573</v>
      </c>
      <c r="E70" s="24" t="s">
        <v>16</v>
      </c>
      <c r="F70" s="17"/>
      <c r="G70" s="17" t="s">
        <v>446</v>
      </c>
      <c r="H70" s="17"/>
      <c r="I70" s="17"/>
      <c r="J70" s="17"/>
      <c r="K70" s="17" t="s">
        <v>61</v>
      </c>
      <c r="L70" s="17" t="n">
        <v>119</v>
      </c>
      <c r="M70" s="17" t="n">
        <v>10.3</v>
      </c>
      <c r="N70" s="17"/>
      <c r="O70" s="17"/>
    </row>
    <row r="71" customFormat="false" ht="15" hidden="false" customHeight="false" outlineLevel="0" collapsed="false">
      <c r="A71" s="17" t="s">
        <v>574</v>
      </c>
      <c r="B71" s="18" t="s">
        <v>91</v>
      </c>
      <c r="C71" s="18" t="s">
        <v>12</v>
      </c>
      <c r="D71" s="17" t="s">
        <v>575</v>
      </c>
      <c r="E71" s="24" t="s">
        <v>16</v>
      </c>
      <c r="F71" s="17"/>
      <c r="G71" s="17" t="s">
        <v>446</v>
      </c>
      <c r="H71" s="17"/>
      <c r="I71" s="17"/>
      <c r="J71" s="17"/>
      <c r="K71" s="17" t="s">
        <v>61</v>
      </c>
      <c r="L71" s="17" t="n">
        <v>132</v>
      </c>
      <c r="M71" s="17" t="n">
        <v>8.2</v>
      </c>
      <c r="N71" s="17"/>
      <c r="O71" s="17"/>
    </row>
    <row r="72" customFormat="false" ht="15" hidden="false" customHeight="false" outlineLevel="0" collapsed="false">
      <c r="A72" s="17" t="s">
        <v>576</v>
      </c>
      <c r="B72" s="18" t="s">
        <v>91</v>
      </c>
      <c r="C72" s="18" t="s">
        <v>12</v>
      </c>
      <c r="D72" s="17" t="s">
        <v>577</v>
      </c>
      <c r="E72" s="24" t="s">
        <v>16</v>
      </c>
      <c r="F72" s="17"/>
      <c r="G72" s="17" t="s">
        <v>446</v>
      </c>
      <c r="H72" s="17"/>
      <c r="I72" s="17"/>
      <c r="J72" s="17"/>
      <c r="K72" s="17" t="s">
        <v>61</v>
      </c>
      <c r="L72" s="17" t="n">
        <v>150</v>
      </c>
      <c r="M72" s="17" t="n">
        <v>8.9</v>
      </c>
      <c r="N72" s="17"/>
      <c r="O72" s="17"/>
    </row>
    <row r="73" customFormat="false" ht="15" hidden="false" customHeight="false" outlineLevel="0" collapsed="false">
      <c r="A73" s="17" t="s">
        <v>578</v>
      </c>
      <c r="B73" s="18" t="s">
        <v>91</v>
      </c>
      <c r="C73" s="18" t="s">
        <v>12</v>
      </c>
      <c r="D73" s="17" t="s">
        <v>579</v>
      </c>
      <c r="E73" s="24" t="s">
        <v>16</v>
      </c>
      <c r="F73" s="17"/>
      <c r="G73" s="17" t="s">
        <v>446</v>
      </c>
      <c r="H73" s="17"/>
      <c r="I73" s="17"/>
      <c r="J73" s="17"/>
      <c r="K73" s="17" t="s">
        <v>61</v>
      </c>
      <c r="L73" s="17" t="n">
        <v>159</v>
      </c>
      <c r="M73" s="17" t="n">
        <v>0.6</v>
      </c>
      <c r="N73" s="17"/>
      <c r="O73" s="17"/>
    </row>
    <row r="74" customFormat="false" ht="15" hidden="false" customHeight="false" outlineLevel="0" collapsed="false">
      <c r="A74" s="17" t="s">
        <v>580</v>
      </c>
      <c r="B74" s="18" t="s">
        <v>91</v>
      </c>
      <c r="C74" s="18" t="s">
        <v>12</v>
      </c>
      <c r="D74" s="17" t="s">
        <v>581</v>
      </c>
      <c r="E74" s="24" t="s">
        <v>16</v>
      </c>
      <c r="F74" s="17"/>
      <c r="G74" s="17" t="s">
        <v>446</v>
      </c>
      <c r="H74" s="17"/>
      <c r="I74" s="17"/>
      <c r="J74" s="17"/>
      <c r="K74" s="17" t="s">
        <v>62</v>
      </c>
      <c r="L74" s="17" t="n">
        <v>91</v>
      </c>
      <c r="M74" s="17" t="n">
        <v>12.9</v>
      </c>
      <c r="N74" s="17"/>
      <c r="O74" s="17"/>
    </row>
    <row r="75" customFormat="false" ht="15" hidden="false" customHeight="false" outlineLevel="0" collapsed="false">
      <c r="A75" s="17" t="s">
        <v>582</v>
      </c>
      <c r="B75" s="18" t="s">
        <v>91</v>
      </c>
      <c r="C75" s="18" t="s">
        <v>12</v>
      </c>
      <c r="D75" s="17" t="s">
        <v>583</v>
      </c>
      <c r="E75" s="24" t="s">
        <v>16</v>
      </c>
      <c r="F75" s="17"/>
      <c r="G75" s="17" t="s">
        <v>446</v>
      </c>
      <c r="H75" s="17"/>
      <c r="I75" s="17"/>
      <c r="J75" s="17"/>
      <c r="K75" s="17" t="s">
        <v>64</v>
      </c>
      <c r="L75" s="17" t="n">
        <v>136</v>
      </c>
      <c r="M75" s="17" t="n">
        <v>15.3</v>
      </c>
      <c r="N75" s="17"/>
      <c r="O75" s="17"/>
    </row>
    <row r="76" customFormat="false" ht="15" hidden="false" customHeight="false" outlineLevel="0" collapsed="false">
      <c r="A76" s="17" t="s">
        <v>584</v>
      </c>
      <c r="B76" s="18" t="s">
        <v>91</v>
      </c>
      <c r="C76" s="18" t="s">
        <v>12</v>
      </c>
      <c r="D76" s="17" t="s">
        <v>585</v>
      </c>
      <c r="E76" s="24" t="s">
        <v>16</v>
      </c>
      <c r="F76" s="17"/>
      <c r="G76" s="17" t="s">
        <v>446</v>
      </c>
      <c r="H76" s="17"/>
      <c r="I76" s="17"/>
      <c r="J76" s="17"/>
      <c r="K76" s="17" t="s">
        <v>64</v>
      </c>
      <c r="L76" s="17" t="n">
        <v>136</v>
      </c>
      <c r="M76" s="17" t="n">
        <v>15.9</v>
      </c>
      <c r="N76" s="17"/>
      <c r="O76" s="17"/>
    </row>
    <row r="77" customFormat="false" ht="15" hidden="false" customHeight="false" outlineLevel="0" collapsed="false">
      <c r="A77" s="17" t="s">
        <v>586</v>
      </c>
      <c r="B77" s="18" t="s">
        <v>91</v>
      </c>
      <c r="C77" s="18" t="s">
        <v>12</v>
      </c>
      <c r="D77" s="17" t="s">
        <v>587</v>
      </c>
      <c r="E77" s="24" t="s">
        <v>16</v>
      </c>
      <c r="F77" s="17"/>
      <c r="G77" s="17" t="s">
        <v>446</v>
      </c>
      <c r="H77" s="17"/>
      <c r="I77" s="17"/>
      <c r="J77" s="17"/>
      <c r="K77" s="17" t="s">
        <v>64</v>
      </c>
      <c r="L77" s="17" t="n">
        <v>136</v>
      </c>
      <c r="M77" s="17" t="n">
        <v>14.3</v>
      </c>
      <c r="N77" s="17"/>
      <c r="O77" s="17"/>
    </row>
    <row r="78" customFormat="false" ht="15" hidden="false" customHeight="false" outlineLevel="0" collapsed="false">
      <c r="A78" s="17" t="s">
        <v>588</v>
      </c>
      <c r="B78" s="18" t="s">
        <v>91</v>
      </c>
      <c r="C78" s="18" t="s">
        <v>12</v>
      </c>
      <c r="D78" s="17" t="s">
        <v>589</v>
      </c>
      <c r="E78" s="24" t="s">
        <v>16</v>
      </c>
      <c r="F78" s="17"/>
      <c r="G78" s="17" t="s">
        <v>446</v>
      </c>
      <c r="H78" s="17"/>
      <c r="I78" s="17"/>
      <c r="J78" s="17"/>
      <c r="K78" s="17" t="s">
        <v>64</v>
      </c>
      <c r="L78" s="17" t="n">
        <v>136</v>
      </c>
      <c r="M78" s="17" t="n">
        <v>14.7</v>
      </c>
      <c r="N78" s="17"/>
      <c r="O78" s="17"/>
    </row>
    <row r="79" customFormat="false" ht="15" hidden="false" customHeight="false" outlineLevel="0" collapsed="false">
      <c r="A79" s="17" t="s">
        <v>590</v>
      </c>
      <c r="B79" s="18" t="s">
        <v>91</v>
      </c>
      <c r="C79" s="18" t="s">
        <v>12</v>
      </c>
      <c r="D79" s="17" t="s">
        <v>591</v>
      </c>
      <c r="E79" s="24" t="s">
        <v>16</v>
      </c>
      <c r="F79" s="17"/>
      <c r="G79" s="17" t="s">
        <v>446</v>
      </c>
      <c r="H79" s="17"/>
      <c r="I79" s="17"/>
      <c r="J79" s="17"/>
      <c r="K79" s="17" t="s">
        <v>64</v>
      </c>
      <c r="L79" s="17" t="n">
        <v>185</v>
      </c>
      <c r="M79" s="17" t="n">
        <v>15.3</v>
      </c>
      <c r="N79" s="17"/>
      <c r="O79" s="17"/>
    </row>
    <row r="80" customFormat="false" ht="15" hidden="false" customHeight="false" outlineLevel="0" collapsed="false">
      <c r="A80" s="17" t="s">
        <v>592</v>
      </c>
      <c r="B80" s="18" t="s">
        <v>91</v>
      </c>
      <c r="C80" s="18" t="s">
        <v>12</v>
      </c>
      <c r="D80" s="17" t="s">
        <v>593</v>
      </c>
      <c r="E80" s="24" t="s">
        <v>16</v>
      </c>
      <c r="F80" s="17"/>
      <c r="G80" s="17" t="s">
        <v>446</v>
      </c>
      <c r="H80" s="17"/>
      <c r="I80" s="17"/>
      <c r="J80" s="17"/>
      <c r="K80" s="17" t="s">
        <v>64</v>
      </c>
      <c r="L80" s="17" t="n">
        <v>214</v>
      </c>
      <c r="M80" s="17" t="n">
        <v>6.6</v>
      </c>
      <c r="N80" s="17"/>
      <c r="O80" s="17"/>
    </row>
    <row r="81" customFormat="false" ht="15" hidden="false" customHeight="false" outlineLevel="0" collapsed="false">
      <c r="A81" s="17" t="s">
        <v>594</v>
      </c>
      <c r="B81" s="18" t="s">
        <v>91</v>
      </c>
      <c r="C81" s="18" t="s">
        <v>12</v>
      </c>
      <c r="D81" s="17" t="s">
        <v>595</v>
      </c>
      <c r="E81" s="24" t="s">
        <v>16</v>
      </c>
      <c r="F81" s="17"/>
      <c r="G81" s="17" t="s">
        <v>446</v>
      </c>
      <c r="H81" s="17"/>
      <c r="I81" s="17"/>
      <c r="J81" s="17"/>
      <c r="K81" s="17" t="s">
        <v>64</v>
      </c>
      <c r="L81" s="17" t="n">
        <v>230</v>
      </c>
      <c r="M81" s="17" t="n">
        <v>7.8</v>
      </c>
      <c r="N81" s="17"/>
      <c r="O81" s="17"/>
    </row>
    <row r="82" customFormat="false" ht="15" hidden="false" customHeight="false" outlineLevel="0" collapsed="false">
      <c r="A82" s="17" t="s">
        <v>596</v>
      </c>
      <c r="B82" s="18" t="s">
        <v>91</v>
      </c>
      <c r="C82" s="18" t="s">
        <v>12</v>
      </c>
      <c r="D82" s="17" t="s">
        <v>597</v>
      </c>
      <c r="E82" s="24" t="s">
        <v>16</v>
      </c>
      <c r="F82" s="17"/>
      <c r="G82" s="17" t="s">
        <v>446</v>
      </c>
      <c r="H82" s="17"/>
      <c r="I82" s="17"/>
      <c r="J82" s="17"/>
      <c r="K82" s="17" t="s">
        <v>64</v>
      </c>
      <c r="L82" s="17" t="n">
        <v>235</v>
      </c>
      <c r="M82" s="17" t="n">
        <v>6.9</v>
      </c>
      <c r="N82" s="17"/>
      <c r="O82" s="17"/>
    </row>
    <row r="83" customFormat="false" ht="15" hidden="false" customHeight="false" outlineLevel="0" collapsed="false">
      <c r="A83" s="17" t="s">
        <v>598</v>
      </c>
      <c r="B83" s="18" t="s">
        <v>91</v>
      </c>
      <c r="C83" s="18" t="s">
        <v>12</v>
      </c>
      <c r="D83" s="17" t="s">
        <v>599</v>
      </c>
      <c r="E83" s="24" t="s">
        <v>16</v>
      </c>
      <c r="F83" s="17"/>
      <c r="G83" s="17" t="s">
        <v>446</v>
      </c>
      <c r="H83" s="17"/>
      <c r="I83" s="17"/>
      <c r="J83" s="17"/>
      <c r="K83" s="17" t="s">
        <v>64</v>
      </c>
      <c r="L83" s="17" t="n">
        <v>243</v>
      </c>
      <c r="M83" s="17" t="n">
        <v>20</v>
      </c>
      <c r="N83" s="17"/>
      <c r="O83" s="17"/>
    </row>
    <row r="84" customFormat="false" ht="15" hidden="false" customHeight="false" outlineLevel="0" collapsed="false">
      <c r="A84" s="17" t="s">
        <v>600</v>
      </c>
      <c r="B84" s="18" t="s">
        <v>91</v>
      </c>
      <c r="C84" s="18" t="s">
        <v>12</v>
      </c>
      <c r="D84" s="17" t="s">
        <v>601</v>
      </c>
      <c r="E84" s="24" t="s">
        <v>16</v>
      </c>
      <c r="F84" s="17"/>
      <c r="G84" s="17" t="s">
        <v>446</v>
      </c>
      <c r="H84" s="17"/>
      <c r="I84" s="17"/>
      <c r="J84" s="17"/>
      <c r="K84" s="17" t="s">
        <v>64</v>
      </c>
      <c r="L84" s="17" t="n">
        <v>279</v>
      </c>
      <c r="M84" s="17" t="n">
        <v>7</v>
      </c>
      <c r="N84" s="17"/>
      <c r="O84" s="17"/>
    </row>
    <row r="85" customFormat="false" ht="15" hidden="false" customHeight="false" outlineLevel="0" collapsed="false">
      <c r="A85" s="17"/>
      <c r="B85" s="17"/>
      <c r="C85" s="18" t="s">
        <v>12</v>
      </c>
      <c r="D85" s="17" t="s">
        <v>602</v>
      </c>
      <c r="E85" s="24" t="s">
        <v>16</v>
      </c>
      <c r="F85" s="17"/>
      <c r="G85" s="17" t="s">
        <v>446</v>
      </c>
      <c r="H85" s="17"/>
      <c r="I85" s="17"/>
      <c r="J85" s="17"/>
      <c r="K85" s="17" t="s">
        <v>65</v>
      </c>
      <c r="L85" s="17" t="n">
        <v>27</v>
      </c>
      <c r="M85" s="17" t="n">
        <v>9.6</v>
      </c>
      <c r="N85" s="17"/>
      <c r="O85" s="17"/>
    </row>
    <row r="86" customFormat="false" ht="15" hidden="false" customHeight="false" outlineLevel="0" collapsed="false">
      <c r="A86" s="17" t="s">
        <v>603</v>
      </c>
      <c r="B86" s="18" t="s">
        <v>91</v>
      </c>
      <c r="C86" s="18" t="s">
        <v>12</v>
      </c>
      <c r="D86" s="17" t="s">
        <v>604</v>
      </c>
      <c r="E86" s="24" t="s">
        <v>16</v>
      </c>
      <c r="F86" s="17"/>
      <c r="G86" s="17" t="s">
        <v>446</v>
      </c>
      <c r="H86" s="17"/>
      <c r="I86" s="17"/>
      <c r="J86" s="17"/>
      <c r="K86" s="17" t="s">
        <v>65</v>
      </c>
      <c r="L86" s="17" t="n">
        <v>61</v>
      </c>
      <c r="M86" s="17" t="n">
        <v>19.9</v>
      </c>
      <c r="N86" s="17"/>
      <c r="O86" s="17"/>
    </row>
    <row r="87" customFormat="false" ht="15" hidden="false" customHeight="false" outlineLevel="0" collapsed="false">
      <c r="A87" s="17" t="s">
        <v>605</v>
      </c>
      <c r="B87" s="18" t="s">
        <v>91</v>
      </c>
      <c r="C87" s="18" t="s">
        <v>12</v>
      </c>
      <c r="D87" s="17" t="s">
        <v>606</v>
      </c>
      <c r="E87" s="24" t="s">
        <v>16</v>
      </c>
      <c r="F87" s="17"/>
      <c r="G87" s="17" t="s">
        <v>446</v>
      </c>
      <c r="H87" s="17"/>
      <c r="I87" s="17"/>
      <c r="J87" s="17"/>
      <c r="K87" s="17" t="s">
        <v>65</v>
      </c>
      <c r="L87" s="17" t="n">
        <v>61</v>
      </c>
      <c r="M87" s="17" t="n">
        <v>18.8</v>
      </c>
      <c r="N87" s="17"/>
      <c r="O87" s="17"/>
    </row>
    <row r="88" customFormat="false" ht="15" hidden="false" customHeight="false" outlineLevel="0" collapsed="false">
      <c r="A88" s="17" t="s">
        <v>607</v>
      </c>
      <c r="B88" s="18" t="s">
        <v>91</v>
      </c>
      <c r="C88" s="18" t="s">
        <v>12</v>
      </c>
      <c r="D88" s="17" t="s">
        <v>608</v>
      </c>
      <c r="E88" s="24" t="s">
        <v>16</v>
      </c>
      <c r="F88" s="17"/>
      <c r="G88" s="17" t="s">
        <v>446</v>
      </c>
      <c r="H88" s="17"/>
      <c r="I88" s="17"/>
      <c r="J88" s="17"/>
      <c r="K88" s="17" t="s">
        <v>65</v>
      </c>
      <c r="L88" s="17" t="n">
        <v>61</v>
      </c>
      <c r="M88" s="17" t="n">
        <v>19.9</v>
      </c>
      <c r="N88" s="17"/>
      <c r="O88" s="17"/>
    </row>
    <row r="89" customFormat="false" ht="15" hidden="false" customHeight="false" outlineLevel="0" collapsed="false">
      <c r="A89" s="17" t="s">
        <v>609</v>
      </c>
      <c r="B89" s="18" t="s">
        <v>91</v>
      </c>
      <c r="C89" s="18" t="s">
        <v>12</v>
      </c>
      <c r="D89" s="17" t="s">
        <v>610</v>
      </c>
      <c r="E89" s="24" t="s">
        <v>16</v>
      </c>
      <c r="F89" s="17"/>
      <c r="G89" s="17" t="s">
        <v>446</v>
      </c>
      <c r="H89" s="17"/>
      <c r="I89" s="17"/>
      <c r="J89" s="17"/>
      <c r="K89" s="17" t="s">
        <v>65</v>
      </c>
      <c r="L89" s="17" t="n">
        <v>61</v>
      </c>
      <c r="M89" s="17" t="n">
        <v>19.2</v>
      </c>
      <c r="N89" s="17"/>
      <c r="O89" s="17"/>
    </row>
    <row r="90" customFormat="false" ht="15" hidden="false" customHeight="false" outlineLevel="0" collapsed="false">
      <c r="A90" s="17" t="s">
        <v>611</v>
      </c>
      <c r="B90" s="18" t="s">
        <v>91</v>
      </c>
      <c r="C90" s="18" t="s">
        <v>12</v>
      </c>
      <c r="D90" s="17" t="s">
        <v>612</v>
      </c>
      <c r="E90" s="24" t="s">
        <v>16</v>
      </c>
      <c r="F90" s="17"/>
      <c r="G90" s="17" t="s">
        <v>446</v>
      </c>
      <c r="H90" s="17"/>
      <c r="I90" s="17"/>
      <c r="J90" s="17"/>
      <c r="K90" s="17" t="s">
        <v>65</v>
      </c>
      <c r="L90" s="17" t="n">
        <v>61</v>
      </c>
      <c r="M90" s="17" t="n">
        <v>20</v>
      </c>
      <c r="N90" s="17"/>
      <c r="O90" s="17"/>
    </row>
    <row r="91" customFormat="false" ht="15" hidden="false" customHeight="false" outlineLevel="0" collapsed="false">
      <c r="A91" s="17" t="s">
        <v>613</v>
      </c>
      <c r="B91" s="18" t="s">
        <v>91</v>
      </c>
      <c r="C91" s="18" t="s">
        <v>12</v>
      </c>
      <c r="D91" s="17" t="s">
        <v>614</v>
      </c>
      <c r="E91" s="24" t="s">
        <v>16</v>
      </c>
      <c r="F91" s="17"/>
      <c r="G91" s="17" t="s">
        <v>446</v>
      </c>
      <c r="H91" s="17"/>
      <c r="I91" s="17"/>
      <c r="J91" s="17"/>
      <c r="K91" s="17" t="s">
        <v>65</v>
      </c>
      <c r="L91" s="17" t="n">
        <v>61</v>
      </c>
      <c r="M91" s="17" t="n">
        <v>19.7</v>
      </c>
      <c r="N91" s="17"/>
      <c r="O91" s="17"/>
    </row>
    <row r="92" customFormat="false" ht="15" hidden="false" customHeight="false" outlineLevel="0" collapsed="false">
      <c r="A92" s="17" t="s">
        <v>615</v>
      </c>
      <c r="B92" s="18" t="s">
        <v>91</v>
      </c>
      <c r="C92" s="18" t="s">
        <v>12</v>
      </c>
      <c r="D92" s="17" t="s">
        <v>616</v>
      </c>
      <c r="E92" s="24" t="s">
        <v>16</v>
      </c>
      <c r="F92" s="17"/>
      <c r="G92" s="17" t="s">
        <v>446</v>
      </c>
      <c r="H92" s="17"/>
      <c r="I92" s="17"/>
      <c r="J92" s="17"/>
      <c r="K92" s="17" t="s">
        <v>65</v>
      </c>
      <c r="L92" s="17" t="n">
        <v>61</v>
      </c>
      <c r="M92" s="17" t="n">
        <v>19.6</v>
      </c>
      <c r="N92" s="17"/>
      <c r="O92" s="17"/>
    </row>
    <row r="93" customFormat="false" ht="15" hidden="false" customHeight="false" outlineLevel="0" collapsed="false">
      <c r="A93" s="17" t="s">
        <v>617</v>
      </c>
      <c r="B93" s="18" t="s">
        <v>91</v>
      </c>
      <c r="C93" s="18" t="s">
        <v>12</v>
      </c>
      <c r="D93" s="17" t="s">
        <v>618</v>
      </c>
      <c r="E93" s="24" t="s">
        <v>16</v>
      </c>
      <c r="F93" s="17"/>
      <c r="G93" s="17" t="s">
        <v>446</v>
      </c>
      <c r="H93" s="17"/>
      <c r="I93" s="17"/>
      <c r="J93" s="17"/>
      <c r="K93" s="17" t="s">
        <v>65</v>
      </c>
      <c r="L93" s="17" t="n">
        <v>61</v>
      </c>
      <c r="M93" s="17" t="n">
        <v>19.7</v>
      </c>
      <c r="N93" s="17"/>
      <c r="O93" s="17"/>
    </row>
    <row r="94" customFormat="false" ht="15" hidden="false" customHeight="false" outlineLevel="0" collapsed="false">
      <c r="A94" s="17" t="s">
        <v>619</v>
      </c>
      <c r="B94" s="18" t="s">
        <v>91</v>
      </c>
      <c r="C94" s="18" t="s">
        <v>12</v>
      </c>
      <c r="D94" s="17" t="s">
        <v>620</v>
      </c>
      <c r="E94" s="24" t="s">
        <v>16</v>
      </c>
      <c r="F94" s="17"/>
      <c r="G94" s="17" t="s">
        <v>446</v>
      </c>
      <c r="H94" s="17"/>
      <c r="I94" s="17"/>
      <c r="J94" s="17"/>
      <c r="K94" s="17" t="s">
        <v>65</v>
      </c>
      <c r="L94" s="17" t="n">
        <v>61</v>
      </c>
      <c r="M94" s="17" t="n">
        <v>19.6</v>
      </c>
      <c r="N94" s="17"/>
      <c r="O94" s="17"/>
    </row>
    <row r="95" customFormat="false" ht="15" hidden="false" customHeight="false" outlineLevel="0" collapsed="false">
      <c r="A95" s="17" t="s">
        <v>621</v>
      </c>
      <c r="B95" s="18" t="s">
        <v>91</v>
      </c>
      <c r="C95" s="18" t="s">
        <v>12</v>
      </c>
      <c r="D95" s="17" t="s">
        <v>622</v>
      </c>
      <c r="E95" s="24" t="s">
        <v>16</v>
      </c>
      <c r="F95" s="17"/>
      <c r="G95" s="17" t="s">
        <v>446</v>
      </c>
      <c r="H95" s="17"/>
      <c r="I95" s="17"/>
      <c r="J95" s="17"/>
      <c r="K95" s="17" t="s">
        <v>65</v>
      </c>
      <c r="L95" s="17" t="n">
        <v>111</v>
      </c>
      <c r="M95" s="17" t="n">
        <v>28.4</v>
      </c>
      <c r="N95" s="17"/>
      <c r="O95" s="17"/>
    </row>
    <row r="96" customFormat="false" ht="15" hidden="false" customHeight="false" outlineLevel="0" collapsed="false">
      <c r="A96" s="17" t="s">
        <v>623</v>
      </c>
      <c r="B96" s="18" t="s">
        <v>91</v>
      </c>
      <c r="C96" s="18" t="s">
        <v>12</v>
      </c>
      <c r="D96" s="17" t="s">
        <v>624</v>
      </c>
      <c r="E96" s="24" t="s">
        <v>16</v>
      </c>
      <c r="F96" s="17"/>
      <c r="G96" s="17" t="s">
        <v>446</v>
      </c>
      <c r="H96" s="17"/>
      <c r="I96" s="17"/>
      <c r="J96" s="17"/>
      <c r="K96" s="17" t="s">
        <v>65</v>
      </c>
      <c r="L96" s="17" t="n">
        <v>119</v>
      </c>
      <c r="M96" s="17" t="n">
        <v>9.6</v>
      </c>
      <c r="N96" s="17"/>
      <c r="O96" s="17"/>
    </row>
    <row r="97" customFormat="false" ht="15" hidden="false" customHeight="false" outlineLevel="0" collapsed="false">
      <c r="A97" s="17" t="s">
        <v>625</v>
      </c>
      <c r="B97" s="18" t="s">
        <v>91</v>
      </c>
      <c r="C97" s="18" t="s">
        <v>12</v>
      </c>
      <c r="D97" s="17" t="s">
        <v>626</v>
      </c>
      <c r="E97" s="24" t="s">
        <v>16</v>
      </c>
      <c r="F97" s="17"/>
      <c r="G97" s="17" t="s">
        <v>446</v>
      </c>
      <c r="H97" s="17"/>
      <c r="I97" s="17"/>
      <c r="J97" s="17"/>
      <c r="K97" s="17" t="s">
        <v>65</v>
      </c>
      <c r="L97" s="17" t="n">
        <v>126</v>
      </c>
      <c r="M97" s="17" t="n">
        <v>9.2</v>
      </c>
      <c r="N97" s="17"/>
      <c r="O97" s="17"/>
    </row>
    <row r="98" customFormat="false" ht="15" hidden="false" customHeight="false" outlineLevel="0" collapsed="false">
      <c r="A98" s="17" t="s">
        <v>627</v>
      </c>
      <c r="B98" s="18" t="s">
        <v>91</v>
      </c>
      <c r="C98" s="18" t="s">
        <v>12</v>
      </c>
      <c r="D98" s="17" t="s">
        <v>628</v>
      </c>
      <c r="E98" s="24" t="s">
        <v>16</v>
      </c>
      <c r="F98" s="17"/>
      <c r="G98" s="17" t="s">
        <v>446</v>
      </c>
      <c r="H98" s="17"/>
      <c r="I98" s="17"/>
      <c r="J98" s="17"/>
      <c r="K98" s="17" t="s">
        <v>66</v>
      </c>
      <c r="L98" s="17" t="n">
        <v>20</v>
      </c>
      <c r="M98" s="17" t="n">
        <v>2.2</v>
      </c>
      <c r="N98" s="17"/>
      <c r="O98" s="17"/>
    </row>
    <row r="99" customFormat="false" ht="15" hidden="false" customHeight="false" outlineLevel="0" collapsed="false">
      <c r="A99" s="17" t="s">
        <v>629</v>
      </c>
      <c r="B99" s="18" t="s">
        <v>91</v>
      </c>
      <c r="C99" s="18" t="s">
        <v>12</v>
      </c>
      <c r="D99" s="17" t="s">
        <v>630</v>
      </c>
      <c r="E99" s="24" t="s">
        <v>16</v>
      </c>
      <c r="F99" s="17"/>
      <c r="G99" s="17" t="s">
        <v>446</v>
      </c>
      <c r="H99" s="17"/>
      <c r="I99" s="17"/>
      <c r="J99" s="17"/>
      <c r="K99" s="17" t="s">
        <v>66</v>
      </c>
      <c r="L99" s="17" t="n">
        <v>33</v>
      </c>
      <c r="M99" s="17" t="n">
        <v>13.2</v>
      </c>
      <c r="N99" s="17"/>
      <c r="O99" s="17"/>
    </row>
    <row r="100" customFormat="false" ht="15" hidden="false" customHeight="false" outlineLevel="0" collapsed="false">
      <c r="A100" s="17" t="s">
        <v>631</v>
      </c>
      <c r="B100" s="18" t="s">
        <v>91</v>
      </c>
      <c r="C100" s="18" t="s">
        <v>12</v>
      </c>
      <c r="D100" s="17" t="s">
        <v>632</v>
      </c>
      <c r="E100" s="24" t="s">
        <v>16</v>
      </c>
      <c r="F100" s="17"/>
      <c r="G100" s="17" t="s">
        <v>446</v>
      </c>
      <c r="H100" s="17"/>
      <c r="I100" s="17"/>
      <c r="J100" s="17"/>
      <c r="K100" s="17" t="s">
        <v>66</v>
      </c>
      <c r="L100" s="17" t="n">
        <v>51</v>
      </c>
      <c r="M100" s="17" t="n">
        <v>9.5</v>
      </c>
      <c r="N100" s="17"/>
      <c r="O100" s="17"/>
    </row>
    <row r="101" customFormat="false" ht="15" hidden="false" customHeight="false" outlineLevel="0" collapsed="false">
      <c r="A101" s="17" t="s">
        <v>633</v>
      </c>
      <c r="B101" s="18" t="s">
        <v>91</v>
      </c>
      <c r="C101" s="18" t="s">
        <v>12</v>
      </c>
      <c r="D101" s="17" t="s">
        <v>634</v>
      </c>
      <c r="E101" s="24" t="s">
        <v>16</v>
      </c>
      <c r="F101" s="17"/>
      <c r="G101" s="17" t="s">
        <v>446</v>
      </c>
      <c r="H101" s="17"/>
      <c r="I101" s="17"/>
      <c r="J101" s="17"/>
      <c r="K101" s="17" t="s">
        <v>66</v>
      </c>
      <c r="L101" s="17" t="n">
        <v>58</v>
      </c>
      <c r="M101" s="17" t="n">
        <v>6.8</v>
      </c>
      <c r="N101" s="17"/>
      <c r="O101" s="17"/>
    </row>
    <row r="102" customFormat="false" ht="15" hidden="false" customHeight="false" outlineLevel="0" collapsed="false">
      <c r="A102" s="17" t="s">
        <v>635</v>
      </c>
      <c r="B102" s="18" t="s">
        <v>91</v>
      </c>
      <c r="C102" s="18" t="s">
        <v>12</v>
      </c>
      <c r="D102" s="17" t="s">
        <v>636</v>
      </c>
      <c r="E102" s="24" t="s">
        <v>16</v>
      </c>
      <c r="F102" s="17"/>
      <c r="G102" s="17" t="s">
        <v>446</v>
      </c>
      <c r="H102" s="17"/>
      <c r="I102" s="17"/>
      <c r="J102" s="17"/>
      <c r="K102" s="17" t="s">
        <v>66</v>
      </c>
      <c r="L102" s="17" t="n">
        <v>63</v>
      </c>
      <c r="M102" s="17" t="n">
        <v>15.9</v>
      </c>
      <c r="N102" s="17"/>
      <c r="O102" s="17"/>
    </row>
    <row r="103" customFormat="false" ht="15" hidden="false" customHeight="false" outlineLevel="0" collapsed="false">
      <c r="A103" s="17" t="s">
        <v>637</v>
      </c>
      <c r="B103" s="18" t="s">
        <v>91</v>
      </c>
      <c r="C103" s="18" t="s">
        <v>12</v>
      </c>
      <c r="D103" s="17" t="s">
        <v>638</v>
      </c>
      <c r="E103" s="24" t="s">
        <v>16</v>
      </c>
      <c r="F103" s="17"/>
      <c r="G103" s="17" t="s">
        <v>446</v>
      </c>
      <c r="H103" s="17"/>
      <c r="I103" s="17"/>
      <c r="J103" s="17"/>
      <c r="K103" s="17" t="s">
        <v>66</v>
      </c>
      <c r="L103" s="17" t="n">
        <v>74</v>
      </c>
      <c r="M103" s="17" t="n">
        <v>13.1</v>
      </c>
      <c r="N103" s="17"/>
      <c r="O103" s="17"/>
    </row>
    <row r="104" customFormat="false" ht="15" hidden="false" customHeight="false" outlineLevel="0" collapsed="false">
      <c r="A104" s="17" t="s">
        <v>639</v>
      </c>
      <c r="B104" s="18" t="s">
        <v>91</v>
      </c>
      <c r="C104" s="18" t="s">
        <v>12</v>
      </c>
      <c r="D104" s="17" t="s">
        <v>640</v>
      </c>
      <c r="E104" s="24" t="s">
        <v>16</v>
      </c>
      <c r="F104" s="17"/>
      <c r="G104" s="17" t="s">
        <v>446</v>
      </c>
      <c r="H104" s="17"/>
      <c r="I104" s="17"/>
      <c r="J104" s="17"/>
      <c r="K104" s="17" t="s">
        <v>66</v>
      </c>
      <c r="L104" s="17" t="n">
        <v>94</v>
      </c>
      <c r="M104" s="17" t="n">
        <v>9.9</v>
      </c>
      <c r="N104" s="17"/>
      <c r="O104" s="17"/>
    </row>
    <row r="105" customFormat="false" ht="15" hidden="false" customHeight="false" outlineLevel="0" collapsed="false">
      <c r="A105" s="17" t="s">
        <v>641</v>
      </c>
      <c r="B105" s="18" t="s">
        <v>91</v>
      </c>
      <c r="C105" s="18" t="s">
        <v>12</v>
      </c>
      <c r="D105" s="17" t="s">
        <v>642</v>
      </c>
      <c r="E105" s="24" t="s">
        <v>16</v>
      </c>
      <c r="F105" s="17"/>
      <c r="G105" s="17" t="s">
        <v>446</v>
      </c>
      <c r="H105" s="17"/>
      <c r="I105" s="17"/>
      <c r="J105" s="17"/>
      <c r="K105" s="17" t="s">
        <v>66</v>
      </c>
      <c r="L105" s="17" t="n">
        <v>120</v>
      </c>
      <c r="M105" s="17" t="n">
        <v>9.5</v>
      </c>
      <c r="N105" s="17"/>
      <c r="O105" s="17"/>
    </row>
    <row r="106" customFormat="false" ht="15" hidden="false" customHeight="false" outlineLevel="0" collapsed="false">
      <c r="A106" s="17" t="s">
        <v>643</v>
      </c>
      <c r="B106" s="18" t="s">
        <v>91</v>
      </c>
      <c r="C106" s="18" t="s">
        <v>12</v>
      </c>
      <c r="D106" s="17" t="s">
        <v>644</v>
      </c>
      <c r="E106" s="24" t="s">
        <v>16</v>
      </c>
      <c r="F106" s="17"/>
      <c r="G106" s="17" t="s">
        <v>446</v>
      </c>
      <c r="H106" s="17"/>
      <c r="I106" s="17"/>
      <c r="J106" s="17"/>
      <c r="K106" s="17" t="s">
        <v>66</v>
      </c>
      <c r="L106" s="17" t="n">
        <v>128</v>
      </c>
      <c r="M106" s="17" t="n">
        <v>9.9</v>
      </c>
      <c r="N106" s="17"/>
      <c r="O106" s="17"/>
    </row>
    <row r="107" customFormat="false" ht="15" hidden="false" customHeight="false" outlineLevel="0" collapsed="false">
      <c r="A107" s="17" t="s">
        <v>645</v>
      </c>
      <c r="B107" s="18" t="s">
        <v>91</v>
      </c>
      <c r="C107" s="18" t="s">
        <v>12</v>
      </c>
      <c r="D107" s="17" t="s">
        <v>646</v>
      </c>
      <c r="E107" s="24" t="s">
        <v>16</v>
      </c>
      <c r="F107" s="17"/>
      <c r="G107" s="17" t="s">
        <v>446</v>
      </c>
      <c r="H107" s="17"/>
      <c r="I107" s="17"/>
      <c r="J107" s="17"/>
      <c r="K107" s="17" t="s">
        <v>66</v>
      </c>
      <c r="L107" s="17" t="n">
        <v>141</v>
      </c>
      <c r="M107" s="17" t="n">
        <v>16</v>
      </c>
      <c r="N107" s="17"/>
      <c r="O107" s="17"/>
    </row>
    <row r="108" customFormat="false" ht="15" hidden="false" customHeight="false" outlineLevel="0" collapsed="false">
      <c r="A108" s="17" t="s">
        <v>647</v>
      </c>
      <c r="B108" s="18" t="s">
        <v>91</v>
      </c>
      <c r="C108" s="18" t="s">
        <v>12</v>
      </c>
      <c r="D108" s="17" t="s">
        <v>648</v>
      </c>
      <c r="E108" s="24" t="s">
        <v>16</v>
      </c>
      <c r="F108" s="17"/>
      <c r="G108" s="17" t="s">
        <v>446</v>
      </c>
      <c r="H108" s="17"/>
      <c r="I108" s="17"/>
      <c r="J108" s="17"/>
      <c r="K108" s="17" t="s">
        <v>67</v>
      </c>
      <c r="L108" s="17" t="n">
        <v>142</v>
      </c>
      <c r="M108" s="17" t="n">
        <v>24</v>
      </c>
      <c r="N108" s="17"/>
      <c r="O108" s="17"/>
    </row>
    <row r="109" customFormat="false" ht="15" hidden="false" customHeight="false" outlineLevel="0" collapsed="false">
      <c r="A109" s="17" t="s">
        <v>649</v>
      </c>
      <c r="B109" s="18" t="s">
        <v>91</v>
      </c>
      <c r="C109" s="18" t="s">
        <v>12</v>
      </c>
      <c r="D109" s="17" t="s">
        <v>650</v>
      </c>
      <c r="E109" s="24" t="s">
        <v>16</v>
      </c>
      <c r="F109" s="17"/>
      <c r="G109" s="17" t="s">
        <v>446</v>
      </c>
      <c r="H109" s="17"/>
      <c r="I109" s="17"/>
      <c r="J109" s="17"/>
      <c r="K109" s="17" t="s">
        <v>67</v>
      </c>
      <c r="L109" s="17" t="n">
        <v>142</v>
      </c>
      <c r="M109" s="17" t="n">
        <v>21.1</v>
      </c>
      <c r="N109" s="17"/>
      <c r="O109" s="17"/>
    </row>
    <row r="110" customFormat="false" ht="15" hidden="false" customHeight="false" outlineLevel="0" collapsed="false">
      <c r="A110" s="17" t="s">
        <v>651</v>
      </c>
      <c r="B110" s="18" t="s">
        <v>91</v>
      </c>
      <c r="C110" s="18" t="s">
        <v>12</v>
      </c>
      <c r="D110" s="17" t="s">
        <v>652</v>
      </c>
      <c r="E110" s="24" t="s">
        <v>16</v>
      </c>
      <c r="F110" s="17"/>
      <c r="G110" s="17" t="s">
        <v>446</v>
      </c>
      <c r="H110" s="17"/>
      <c r="I110" s="17"/>
      <c r="J110" s="17"/>
      <c r="K110" s="17" t="s">
        <v>67</v>
      </c>
      <c r="L110" s="17" t="n">
        <v>142</v>
      </c>
      <c r="M110" s="17" t="n">
        <v>20.9</v>
      </c>
      <c r="N110" s="17"/>
      <c r="O110" s="17"/>
    </row>
    <row r="111" customFormat="false" ht="15" hidden="false" customHeight="false" outlineLevel="0" collapsed="false">
      <c r="A111" s="17" t="s">
        <v>653</v>
      </c>
      <c r="B111" s="18" t="s">
        <v>91</v>
      </c>
      <c r="C111" s="18" t="s">
        <v>12</v>
      </c>
      <c r="D111" s="17" t="s">
        <v>654</v>
      </c>
      <c r="E111" s="24" t="s">
        <v>16</v>
      </c>
      <c r="F111" s="17"/>
      <c r="G111" s="17" t="s">
        <v>446</v>
      </c>
      <c r="H111" s="17"/>
      <c r="I111" s="17"/>
      <c r="J111" s="17"/>
      <c r="K111" s="17" t="s">
        <v>67</v>
      </c>
      <c r="L111" s="17" t="n">
        <v>172</v>
      </c>
      <c r="M111" s="17" t="n">
        <v>14.2</v>
      </c>
      <c r="N111" s="17"/>
      <c r="O111" s="17"/>
    </row>
    <row r="112" customFormat="false" ht="15" hidden="false" customHeight="false" outlineLevel="0" collapsed="false">
      <c r="A112" s="17" t="s">
        <v>655</v>
      </c>
      <c r="B112" s="18" t="s">
        <v>91</v>
      </c>
      <c r="C112" s="18" t="s">
        <v>12</v>
      </c>
      <c r="D112" s="17" t="s">
        <v>656</v>
      </c>
      <c r="E112" s="24" t="s">
        <v>16</v>
      </c>
      <c r="F112" s="17"/>
      <c r="G112" s="17" t="s">
        <v>446</v>
      </c>
      <c r="H112" s="17"/>
      <c r="I112" s="17"/>
      <c r="J112" s="17"/>
      <c r="K112" s="17" t="s">
        <v>67</v>
      </c>
      <c r="L112" s="17" t="n">
        <v>172</v>
      </c>
      <c r="M112" s="17" t="n">
        <v>14.1</v>
      </c>
      <c r="N112" s="17"/>
      <c r="O112" s="17"/>
    </row>
    <row r="113" customFormat="false" ht="23.85" hidden="false" customHeight="false" outlineLevel="0" collapsed="false">
      <c r="A113" s="17" t="s">
        <v>657</v>
      </c>
      <c r="B113" s="18" t="s">
        <v>91</v>
      </c>
      <c r="C113" s="18" t="s">
        <v>12</v>
      </c>
      <c r="D113" s="17" t="s">
        <v>658</v>
      </c>
      <c r="E113" s="24" t="s">
        <v>16</v>
      </c>
      <c r="F113" s="17"/>
      <c r="G113" s="17" t="s">
        <v>446</v>
      </c>
      <c r="H113" s="17"/>
      <c r="I113" s="17"/>
      <c r="J113" s="17"/>
      <c r="K113" s="17" t="s">
        <v>67</v>
      </c>
      <c r="L113" s="17" t="n">
        <v>172</v>
      </c>
      <c r="M113" s="17" t="n">
        <v>16.2</v>
      </c>
      <c r="N113" s="17"/>
      <c r="O113" s="17"/>
    </row>
    <row r="114" customFormat="false" ht="15" hidden="false" customHeight="false" outlineLevel="0" collapsed="false">
      <c r="A114" s="17" t="s">
        <v>659</v>
      </c>
      <c r="B114" s="18" t="s">
        <v>91</v>
      </c>
      <c r="C114" s="18" t="s">
        <v>12</v>
      </c>
      <c r="D114" s="17" t="s">
        <v>660</v>
      </c>
      <c r="E114" s="24" t="s">
        <v>16</v>
      </c>
      <c r="F114" s="17"/>
      <c r="G114" s="17" t="s">
        <v>446</v>
      </c>
      <c r="H114" s="17"/>
      <c r="I114" s="17"/>
      <c r="J114" s="17"/>
      <c r="K114" s="17" t="s">
        <v>67</v>
      </c>
      <c r="L114" s="17" t="n">
        <v>187</v>
      </c>
      <c r="M114" s="17" t="n">
        <v>6.9</v>
      </c>
      <c r="N114" s="17"/>
      <c r="O114" s="17"/>
    </row>
    <row r="115" customFormat="false" ht="15" hidden="false" customHeight="false" outlineLevel="0" collapsed="false">
      <c r="A115" s="17" t="s">
        <v>661</v>
      </c>
      <c r="B115" s="18" t="s">
        <v>91</v>
      </c>
      <c r="C115" s="18" t="s">
        <v>12</v>
      </c>
      <c r="D115" s="17" t="s">
        <v>662</v>
      </c>
      <c r="E115" s="24" t="s">
        <v>16</v>
      </c>
      <c r="F115" s="17"/>
      <c r="G115" s="17" t="s">
        <v>446</v>
      </c>
      <c r="H115" s="17"/>
      <c r="I115" s="17"/>
      <c r="J115" s="17"/>
      <c r="K115" s="17" t="s">
        <v>67</v>
      </c>
      <c r="L115" s="17" t="n">
        <v>246</v>
      </c>
      <c r="M115" s="17" t="n">
        <v>13.9</v>
      </c>
      <c r="N115" s="17"/>
      <c r="O115" s="17"/>
    </row>
    <row r="116" customFormat="false" ht="15" hidden="false" customHeight="false" outlineLevel="0" collapsed="false">
      <c r="A116" s="17" t="s">
        <v>663</v>
      </c>
      <c r="B116" s="18" t="s">
        <v>91</v>
      </c>
      <c r="C116" s="18" t="s">
        <v>12</v>
      </c>
      <c r="D116" s="17" t="s">
        <v>664</v>
      </c>
      <c r="E116" s="24" t="s">
        <v>16</v>
      </c>
      <c r="F116" s="17"/>
      <c r="G116" s="17" t="s">
        <v>446</v>
      </c>
      <c r="H116" s="17"/>
      <c r="I116" s="17"/>
      <c r="J116" s="17"/>
      <c r="K116" s="17" t="s">
        <v>67</v>
      </c>
      <c r="L116" s="17" t="n">
        <v>264</v>
      </c>
      <c r="M116" s="17" t="n">
        <v>15.3</v>
      </c>
      <c r="N116" s="17"/>
      <c r="O116" s="17"/>
    </row>
    <row r="117" customFormat="false" ht="15" hidden="false" customHeight="false" outlineLevel="0" collapsed="false">
      <c r="A117" s="17" t="s">
        <v>665</v>
      </c>
      <c r="B117" s="18" t="s">
        <v>91</v>
      </c>
      <c r="C117" s="18" t="s">
        <v>12</v>
      </c>
      <c r="D117" s="17" t="s">
        <v>666</v>
      </c>
      <c r="E117" s="24" t="s">
        <v>16</v>
      </c>
      <c r="F117" s="17"/>
      <c r="G117" s="17" t="s">
        <v>446</v>
      </c>
      <c r="H117" s="17"/>
      <c r="I117" s="17"/>
      <c r="J117" s="17"/>
      <c r="K117" s="17" t="s">
        <v>67</v>
      </c>
      <c r="L117" s="17" t="n">
        <v>293</v>
      </c>
      <c r="M117" s="17" t="n">
        <v>19.4</v>
      </c>
      <c r="N117" s="17"/>
      <c r="O117" s="17"/>
    </row>
    <row r="118" customFormat="false" ht="15" hidden="false" customHeight="false" outlineLevel="0" collapsed="false">
      <c r="A118" s="17" t="s">
        <v>667</v>
      </c>
      <c r="B118" s="18" t="s">
        <v>91</v>
      </c>
      <c r="C118" s="18" t="s">
        <v>12</v>
      </c>
      <c r="D118" s="17" t="s">
        <v>668</v>
      </c>
      <c r="E118" s="24" t="s">
        <v>16</v>
      </c>
      <c r="F118" s="17"/>
      <c r="G118" s="17" t="s">
        <v>446</v>
      </c>
      <c r="H118" s="17"/>
      <c r="I118" s="17"/>
      <c r="J118" s="17"/>
      <c r="K118" s="17" t="s">
        <v>67</v>
      </c>
      <c r="L118" s="17" t="n">
        <v>293</v>
      </c>
      <c r="M118" s="17" t="n">
        <v>20.2</v>
      </c>
      <c r="N118" s="17"/>
      <c r="O118" s="17"/>
    </row>
    <row r="119" customFormat="false" ht="15" hidden="false" customHeight="false" outlineLevel="0" collapsed="false">
      <c r="A119" s="17" t="s">
        <v>669</v>
      </c>
      <c r="B119" s="18" t="s">
        <v>91</v>
      </c>
      <c r="C119" s="18" t="s">
        <v>12</v>
      </c>
      <c r="D119" s="17" t="s">
        <v>670</v>
      </c>
      <c r="E119" s="24" t="s">
        <v>16</v>
      </c>
      <c r="F119" s="17"/>
      <c r="G119" s="17" t="s">
        <v>446</v>
      </c>
      <c r="H119" s="17"/>
      <c r="I119" s="17"/>
      <c r="J119" s="17"/>
      <c r="K119" s="17" t="s">
        <v>67</v>
      </c>
      <c r="L119" s="17" t="n">
        <v>318</v>
      </c>
      <c r="M119" s="17" t="n">
        <v>6.8</v>
      </c>
      <c r="N119" s="17"/>
      <c r="O119" s="17"/>
    </row>
    <row r="120" customFormat="false" ht="15" hidden="false" customHeight="false" outlineLevel="0" collapsed="false">
      <c r="A120" s="17" t="s">
        <v>671</v>
      </c>
      <c r="B120" s="18" t="s">
        <v>91</v>
      </c>
      <c r="C120" s="18" t="s">
        <v>12</v>
      </c>
      <c r="D120" s="17" t="s">
        <v>672</v>
      </c>
      <c r="E120" s="24" t="s">
        <v>16</v>
      </c>
      <c r="F120" s="17"/>
      <c r="G120" s="17" t="s">
        <v>446</v>
      </c>
      <c r="H120" s="17"/>
      <c r="I120" s="17"/>
      <c r="J120" s="17"/>
      <c r="K120" s="17" t="s">
        <v>67</v>
      </c>
      <c r="L120" s="17" t="n">
        <v>326</v>
      </c>
      <c r="M120" s="17" t="n">
        <v>0.4</v>
      </c>
      <c r="N120" s="17"/>
      <c r="O120" s="17"/>
    </row>
    <row r="121" customFormat="false" ht="15" hidden="false" customHeight="false" outlineLevel="0" collapsed="false">
      <c r="A121" s="17" t="s">
        <v>673</v>
      </c>
      <c r="B121" s="18" t="s">
        <v>91</v>
      </c>
      <c r="C121" s="18" t="s">
        <v>12</v>
      </c>
      <c r="D121" s="17" t="s">
        <v>674</v>
      </c>
      <c r="E121" s="24" t="s">
        <v>16</v>
      </c>
      <c r="F121" s="17"/>
      <c r="G121" s="17" t="s">
        <v>446</v>
      </c>
      <c r="H121" s="17"/>
      <c r="I121" s="17"/>
      <c r="J121" s="17"/>
      <c r="K121" s="17" t="s">
        <v>68</v>
      </c>
      <c r="L121" s="17" t="n">
        <v>181</v>
      </c>
      <c r="M121" s="17" t="n">
        <v>9.4</v>
      </c>
      <c r="N121" s="17"/>
      <c r="O121" s="17"/>
    </row>
    <row r="122" customFormat="false" ht="15" hidden="false" customHeight="false" outlineLevel="0" collapsed="false">
      <c r="A122" s="17" t="s">
        <v>675</v>
      </c>
      <c r="B122" s="18" t="s">
        <v>91</v>
      </c>
      <c r="C122" s="18" t="s">
        <v>12</v>
      </c>
      <c r="D122" s="17" t="s">
        <v>676</v>
      </c>
      <c r="E122" s="24" t="s">
        <v>16</v>
      </c>
      <c r="F122" s="17"/>
      <c r="G122" s="17" t="s">
        <v>446</v>
      </c>
      <c r="H122" s="17"/>
      <c r="I122" s="17"/>
      <c r="J122" s="17"/>
      <c r="K122" s="17" t="s">
        <v>68</v>
      </c>
      <c r="L122" s="17" t="n">
        <v>196</v>
      </c>
      <c r="M122" s="17" t="n">
        <v>9.2</v>
      </c>
      <c r="N122" s="17"/>
      <c r="O122" s="17"/>
    </row>
    <row r="123" customFormat="false" ht="15" hidden="false" customHeight="false" outlineLevel="0" collapsed="false">
      <c r="A123" s="17" t="s">
        <v>677</v>
      </c>
      <c r="B123" s="18" t="s">
        <v>91</v>
      </c>
      <c r="C123" s="18" t="s">
        <v>12</v>
      </c>
      <c r="D123" s="17" t="s">
        <v>678</v>
      </c>
      <c r="E123" s="24" t="s">
        <v>16</v>
      </c>
      <c r="F123" s="17"/>
      <c r="G123" s="17" t="s">
        <v>446</v>
      </c>
      <c r="H123" s="17"/>
      <c r="I123" s="17"/>
      <c r="J123" s="17"/>
      <c r="K123" s="17" t="s">
        <v>68</v>
      </c>
      <c r="L123" s="17" t="n">
        <v>218</v>
      </c>
      <c r="M123" s="17" t="n">
        <v>11.2</v>
      </c>
      <c r="N123" s="17"/>
      <c r="O123" s="17"/>
    </row>
    <row r="124" customFormat="false" ht="15" hidden="false" customHeight="false" outlineLevel="0" collapsed="false">
      <c r="A124" s="17" t="s">
        <v>679</v>
      </c>
      <c r="B124" s="18" t="s">
        <v>91</v>
      </c>
      <c r="C124" s="18" t="s">
        <v>12</v>
      </c>
      <c r="D124" s="17" t="s">
        <v>680</v>
      </c>
      <c r="E124" s="24" t="s">
        <v>16</v>
      </c>
      <c r="F124" s="17"/>
      <c r="G124" s="17" t="s">
        <v>446</v>
      </c>
      <c r="H124" s="17"/>
      <c r="I124" s="17"/>
      <c r="J124" s="17"/>
      <c r="K124" s="17" t="s">
        <v>68</v>
      </c>
      <c r="L124" s="17" t="n">
        <v>251</v>
      </c>
      <c r="M124" s="17" t="n">
        <v>2.1</v>
      </c>
      <c r="N124" s="17"/>
      <c r="O124" s="17"/>
    </row>
    <row r="125" customFormat="false" ht="15" hidden="false" customHeight="false" outlineLevel="0" collapsed="false">
      <c r="A125" s="17" t="s">
        <v>681</v>
      </c>
      <c r="B125" s="18" t="s">
        <v>91</v>
      </c>
      <c r="C125" s="18" t="s">
        <v>12</v>
      </c>
      <c r="D125" s="17" t="s">
        <v>682</v>
      </c>
      <c r="E125" s="24" t="s">
        <v>16</v>
      </c>
      <c r="F125" s="17"/>
      <c r="G125" s="17" t="s">
        <v>446</v>
      </c>
      <c r="H125" s="17"/>
      <c r="I125" s="17"/>
      <c r="J125" s="17"/>
      <c r="K125" s="17" t="s">
        <v>68</v>
      </c>
      <c r="L125" s="17" t="n">
        <v>263</v>
      </c>
      <c r="M125" s="17" t="n">
        <v>2.2</v>
      </c>
      <c r="N125" s="17"/>
      <c r="O125" s="17"/>
    </row>
    <row r="126" customFormat="false" ht="15" hidden="false" customHeight="false" outlineLevel="0" collapsed="false">
      <c r="A126" s="17" t="s">
        <v>683</v>
      </c>
      <c r="B126" s="18" t="s">
        <v>91</v>
      </c>
      <c r="C126" s="18" t="s">
        <v>12</v>
      </c>
      <c r="D126" s="17" t="s">
        <v>684</v>
      </c>
      <c r="E126" s="24" t="s">
        <v>16</v>
      </c>
      <c r="F126" s="17"/>
      <c r="G126" s="17" t="s">
        <v>446</v>
      </c>
      <c r="H126" s="17"/>
      <c r="I126" s="17"/>
      <c r="J126" s="17"/>
      <c r="K126" s="17" t="s">
        <v>69</v>
      </c>
      <c r="L126" s="17" t="n">
        <v>156</v>
      </c>
      <c r="M126" s="17" t="n">
        <v>6.8</v>
      </c>
      <c r="N126" s="17"/>
      <c r="O126" s="17"/>
    </row>
    <row r="127" customFormat="false" ht="23.85" hidden="false" customHeight="false" outlineLevel="0" collapsed="false">
      <c r="A127" s="17" t="s">
        <v>685</v>
      </c>
      <c r="B127" s="18" t="s">
        <v>91</v>
      </c>
      <c r="C127" s="18" t="s">
        <v>12</v>
      </c>
      <c r="D127" s="17" t="s">
        <v>686</v>
      </c>
      <c r="E127" s="24" t="s">
        <v>16</v>
      </c>
      <c r="F127" s="17"/>
      <c r="G127" s="17" t="s">
        <v>446</v>
      </c>
      <c r="H127" s="17"/>
      <c r="I127" s="17"/>
      <c r="J127" s="17"/>
      <c r="K127" s="17" t="s">
        <v>69</v>
      </c>
      <c r="L127" s="17" t="n">
        <v>156</v>
      </c>
      <c r="M127" s="17" t="n">
        <v>6.9</v>
      </c>
      <c r="N127" s="17"/>
      <c r="O127" s="17"/>
    </row>
    <row r="128" customFormat="false" ht="15" hidden="false" customHeight="false" outlineLevel="0" collapsed="false">
      <c r="A128" s="17" t="s">
        <v>687</v>
      </c>
      <c r="B128" s="18" t="s">
        <v>91</v>
      </c>
      <c r="C128" s="18" t="s">
        <v>12</v>
      </c>
      <c r="D128" s="17" t="s">
        <v>688</v>
      </c>
      <c r="E128" s="24" t="s">
        <v>16</v>
      </c>
      <c r="F128" s="17"/>
      <c r="G128" s="17" t="s">
        <v>446</v>
      </c>
      <c r="H128" s="17"/>
      <c r="I128" s="17"/>
      <c r="J128" s="17"/>
      <c r="K128" s="17" t="s">
        <v>69</v>
      </c>
      <c r="L128" s="17" t="n">
        <v>184</v>
      </c>
      <c r="M128" s="17" t="n">
        <v>33.4</v>
      </c>
      <c r="N128" s="17"/>
      <c r="O128" s="17"/>
    </row>
    <row r="129" customFormat="false" ht="15" hidden="false" customHeight="false" outlineLevel="0" collapsed="false">
      <c r="A129" s="17" t="s">
        <v>689</v>
      </c>
      <c r="B129" s="18" t="s">
        <v>91</v>
      </c>
      <c r="C129" s="18" t="s">
        <v>12</v>
      </c>
      <c r="D129" s="17" t="s">
        <v>690</v>
      </c>
      <c r="E129" s="24" t="s">
        <v>16</v>
      </c>
      <c r="F129" s="17"/>
      <c r="G129" s="17" t="s">
        <v>446</v>
      </c>
      <c r="H129" s="17"/>
      <c r="I129" s="17"/>
      <c r="J129" s="17"/>
      <c r="K129" s="17" t="s">
        <v>69</v>
      </c>
      <c r="L129" s="17" t="n">
        <v>184</v>
      </c>
      <c r="M129" s="17" t="n">
        <v>34.7</v>
      </c>
      <c r="N129" s="17"/>
      <c r="O129" s="17"/>
    </row>
    <row r="130" customFormat="false" ht="15" hidden="false" customHeight="false" outlineLevel="0" collapsed="false">
      <c r="A130" s="17" t="s">
        <v>691</v>
      </c>
      <c r="B130" s="18" t="s">
        <v>91</v>
      </c>
      <c r="C130" s="18" t="s">
        <v>12</v>
      </c>
      <c r="D130" s="17" t="s">
        <v>692</v>
      </c>
      <c r="E130" s="24" t="s">
        <v>16</v>
      </c>
      <c r="F130" s="17"/>
      <c r="G130" s="17" t="s">
        <v>446</v>
      </c>
      <c r="H130" s="17"/>
      <c r="I130" s="17"/>
      <c r="J130" s="17"/>
      <c r="K130" s="17" t="s">
        <v>69</v>
      </c>
      <c r="L130" s="17" t="n">
        <v>184</v>
      </c>
      <c r="M130" s="17" t="n">
        <v>33</v>
      </c>
      <c r="N130" s="17"/>
      <c r="O130" s="17"/>
    </row>
    <row r="131" customFormat="false" ht="15" hidden="false" customHeight="false" outlineLevel="0" collapsed="false">
      <c r="A131" s="17" t="s">
        <v>693</v>
      </c>
      <c r="B131" s="18" t="s">
        <v>91</v>
      </c>
      <c r="C131" s="18" t="s">
        <v>12</v>
      </c>
      <c r="D131" s="17" t="s">
        <v>694</v>
      </c>
      <c r="E131" s="24" t="s">
        <v>16</v>
      </c>
      <c r="F131" s="17"/>
      <c r="G131" s="17" t="s">
        <v>446</v>
      </c>
      <c r="H131" s="17"/>
      <c r="I131" s="17"/>
      <c r="J131" s="17"/>
      <c r="K131" s="17" t="s">
        <v>69</v>
      </c>
      <c r="L131" s="17" t="n">
        <v>184</v>
      </c>
      <c r="M131" s="17" t="n">
        <v>32.6</v>
      </c>
      <c r="N131" s="17"/>
      <c r="O131" s="17"/>
    </row>
    <row r="132" customFormat="false" ht="15" hidden="false" customHeight="false" outlineLevel="0" collapsed="false">
      <c r="A132" s="17" t="s">
        <v>695</v>
      </c>
      <c r="B132" s="18" t="s">
        <v>91</v>
      </c>
      <c r="C132" s="18" t="s">
        <v>12</v>
      </c>
      <c r="D132" s="17" t="s">
        <v>696</v>
      </c>
      <c r="E132" s="24" t="s">
        <v>16</v>
      </c>
      <c r="F132" s="17"/>
      <c r="G132" s="17" t="s">
        <v>446</v>
      </c>
      <c r="H132" s="17"/>
      <c r="I132" s="17"/>
      <c r="J132" s="17"/>
      <c r="K132" s="17" t="s">
        <v>69</v>
      </c>
      <c r="L132" s="17" t="n">
        <v>184</v>
      </c>
      <c r="M132" s="17" t="n">
        <v>32.5</v>
      </c>
      <c r="N132" s="17"/>
      <c r="O132" s="17"/>
    </row>
    <row r="133" customFormat="false" ht="15" hidden="false" customHeight="false" outlineLevel="0" collapsed="false">
      <c r="A133" s="17" t="s">
        <v>697</v>
      </c>
      <c r="B133" s="18" t="s">
        <v>91</v>
      </c>
      <c r="C133" s="18" t="s">
        <v>12</v>
      </c>
      <c r="D133" s="17" t="s">
        <v>698</v>
      </c>
      <c r="E133" s="24" t="s">
        <v>16</v>
      </c>
      <c r="F133" s="17"/>
      <c r="G133" s="17" t="s">
        <v>446</v>
      </c>
      <c r="H133" s="17"/>
      <c r="I133" s="17"/>
      <c r="J133" s="17"/>
      <c r="K133" s="17" t="s">
        <v>69</v>
      </c>
      <c r="L133" s="17" t="n">
        <v>184</v>
      </c>
      <c r="M133" s="17" t="n">
        <v>34.2</v>
      </c>
      <c r="N133" s="17"/>
      <c r="O133" s="17"/>
    </row>
    <row r="134" customFormat="false" ht="15" hidden="false" customHeight="false" outlineLevel="0" collapsed="false">
      <c r="A134" s="17" t="s">
        <v>699</v>
      </c>
      <c r="B134" s="18" t="s">
        <v>91</v>
      </c>
      <c r="C134" s="18" t="s">
        <v>12</v>
      </c>
      <c r="D134" s="17" t="s">
        <v>700</v>
      </c>
      <c r="E134" s="24" t="s">
        <v>16</v>
      </c>
      <c r="F134" s="17"/>
      <c r="G134" s="17" t="s">
        <v>446</v>
      </c>
      <c r="H134" s="17"/>
      <c r="I134" s="17"/>
      <c r="J134" s="17"/>
      <c r="K134" s="17" t="s">
        <v>69</v>
      </c>
      <c r="L134" s="17" t="n">
        <v>225</v>
      </c>
      <c r="M134" s="17" t="n">
        <v>5.7</v>
      </c>
      <c r="N134" s="17"/>
      <c r="O134" s="17"/>
    </row>
    <row r="135" customFormat="false" ht="15" hidden="false" customHeight="false" outlineLevel="0" collapsed="false">
      <c r="A135" s="17" t="s">
        <v>701</v>
      </c>
      <c r="B135" s="18" t="s">
        <v>91</v>
      </c>
      <c r="C135" s="18" t="s">
        <v>12</v>
      </c>
      <c r="D135" s="17" t="s">
        <v>702</v>
      </c>
      <c r="E135" s="24" t="s">
        <v>16</v>
      </c>
      <c r="F135" s="17"/>
      <c r="G135" s="17" t="s">
        <v>446</v>
      </c>
      <c r="H135" s="17"/>
      <c r="I135" s="17"/>
      <c r="J135" s="17"/>
      <c r="K135" s="17" t="s">
        <v>69</v>
      </c>
      <c r="L135" s="17" t="n">
        <v>233</v>
      </c>
      <c r="M135" s="17" t="n">
        <v>8.9</v>
      </c>
      <c r="N135" s="17"/>
      <c r="O135" s="17"/>
    </row>
    <row r="136" customFormat="false" ht="15" hidden="false" customHeight="false" outlineLevel="0" collapsed="false">
      <c r="A136" s="17" t="s">
        <v>225</v>
      </c>
      <c r="B136" s="18" t="s">
        <v>91</v>
      </c>
      <c r="C136" s="18" t="s">
        <v>12</v>
      </c>
      <c r="D136" s="17" t="s">
        <v>703</v>
      </c>
      <c r="E136" s="24" t="s">
        <v>16</v>
      </c>
      <c r="F136" s="17"/>
      <c r="G136" s="17" t="s">
        <v>446</v>
      </c>
      <c r="H136" s="17"/>
      <c r="I136" s="17"/>
      <c r="J136" s="17"/>
      <c r="K136" s="17" t="s">
        <v>69</v>
      </c>
      <c r="L136" s="17" t="n">
        <v>268</v>
      </c>
      <c r="M136" s="17" t="n">
        <v>6.6</v>
      </c>
      <c r="N136" s="17"/>
      <c r="O136" s="17"/>
    </row>
    <row r="137" customFormat="false" ht="15" hidden="false" customHeight="false" outlineLevel="0" collapsed="false">
      <c r="A137" s="17" t="s">
        <v>704</v>
      </c>
      <c r="B137" s="18" t="s">
        <v>91</v>
      </c>
      <c r="C137" s="18" t="s">
        <v>12</v>
      </c>
      <c r="D137" s="17" t="s">
        <v>705</v>
      </c>
      <c r="E137" s="24" t="s">
        <v>16</v>
      </c>
      <c r="F137" s="17"/>
      <c r="G137" s="17" t="s">
        <v>446</v>
      </c>
      <c r="H137" s="17"/>
      <c r="I137" s="17"/>
      <c r="J137" s="17"/>
      <c r="K137" s="17" t="s">
        <v>69</v>
      </c>
      <c r="L137" s="17" t="n">
        <v>316</v>
      </c>
      <c r="M137" s="17" t="n">
        <v>6.1</v>
      </c>
      <c r="N137" s="17"/>
      <c r="O137" s="17"/>
    </row>
    <row r="138" customFormat="false" ht="15" hidden="false" customHeight="false" outlineLevel="0" collapsed="false">
      <c r="A138" s="17" t="s">
        <v>706</v>
      </c>
      <c r="B138" s="18" t="s">
        <v>91</v>
      </c>
      <c r="C138" s="18" t="s">
        <v>12</v>
      </c>
      <c r="D138" s="17" t="s">
        <v>707</v>
      </c>
      <c r="E138" s="24" t="s">
        <v>16</v>
      </c>
      <c r="F138" s="17"/>
      <c r="G138" s="17" t="s">
        <v>446</v>
      </c>
      <c r="H138" s="17"/>
      <c r="I138" s="17"/>
      <c r="J138" s="17"/>
      <c r="K138" s="17" t="s">
        <v>70</v>
      </c>
      <c r="L138" s="17" t="n">
        <v>105</v>
      </c>
      <c r="M138" s="17" t="n">
        <v>23.2</v>
      </c>
      <c r="N138" s="17"/>
      <c r="O138" s="17"/>
    </row>
    <row r="139" customFormat="false" ht="15" hidden="false" customHeight="false" outlineLevel="0" collapsed="false">
      <c r="A139" s="17" t="s">
        <v>708</v>
      </c>
      <c r="B139" s="18" t="s">
        <v>91</v>
      </c>
      <c r="C139" s="18" t="s">
        <v>12</v>
      </c>
      <c r="D139" s="17" t="s">
        <v>709</v>
      </c>
      <c r="E139" s="24" t="s">
        <v>16</v>
      </c>
      <c r="F139" s="17"/>
      <c r="G139" s="17" t="s">
        <v>446</v>
      </c>
      <c r="H139" s="17"/>
      <c r="I139" s="17"/>
      <c r="J139" s="17"/>
      <c r="K139" s="17" t="s">
        <v>70</v>
      </c>
      <c r="L139" s="17" t="n">
        <v>115</v>
      </c>
      <c r="M139" s="17" t="n">
        <v>7.3</v>
      </c>
      <c r="N139" s="17"/>
      <c r="O139" s="17"/>
    </row>
    <row r="140" customFormat="false" ht="15" hidden="false" customHeight="false" outlineLevel="0" collapsed="false">
      <c r="A140" s="17" t="s">
        <v>710</v>
      </c>
      <c r="B140" s="18" t="s">
        <v>91</v>
      </c>
      <c r="C140" s="18" t="s">
        <v>12</v>
      </c>
      <c r="D140" s="17" t="s">
        <v>711</v>
      </c>
      <c r="E140" s="24" t="s">
        <v>16</v>
      </c>
      <c r="F140" s="17"/>
      <c r="G140" s="17" t="s">
        <v>446</v>
      </c>
      <c r="H140" s="17"/>
      <c r="I140" s="17"/>
      <c r="J140" s="17"/>
      <c r="K140" s="17" t="s">
        <v>70</v>
      </c>
      <c r="L140" s="17" t="n">
        <v>129</v>
      </c>
      <c r="M140" s="17" t="n">
        <v>11.5</v>
      </c>
      <c r="N140" s="17"/>
      <c r="O140" s="17"/>
    </row>
    <row r="141" customFormat="false" ht="15" hidden="false" customHeight="false" outlineLevel="0" collapsed="false">
      <c r="A141" s="17" t="s">
        <v>712</v>
      </c>
      <c r="B141" s="18" t="s">
        <v>91</v>
      </c>
      <c r="C141" s="18" t="s">
        <v>12</v>
      </c>
      <c r="D141" s="17" t="s">
        <v>713</v>
      </c>
      <c r="E141" s="24" t="s">
        <v>16</v>
      </c>
      <c r="F141" s="17"/>
      <c r="G141" s="17" t="s">
        <v>446</v>
      </c>
      <c r="H141" s="17"/>
      <c r="I141" s="17"/>
      <c r="J141" s="17"/>
      <c r="K141" s="17" t="s">
        <v>70</v>
      </c>
      <c r="L141" s="17" t="n">
        <v>143</v>
      </c>
      <c r="M141" s="17" t="n">
        <v>14.5</v>
      </c>
      <c r="N141" s="17"/>
      <c r="O141" s="17"/>
    </row>
    <row r="142" customFormat="false" ht="15" hidden="false" customHeight="false" outlineLevel="0" collapsed="false">
      <c r="A142" s="17" t="s">
        <v>714</v>
      </c>
      <c r="B142" s="18" t="s">
        <v>91</v>
      </c>
      <c r="C142" s="18" t="s">
        <v>12</v>
      </c>
      <c r="D142" s="17" t="s">
        <v>715</v>
      </c>
      <c r="E142" s="24" t="s">
        <v>16</v>
      </c>
      <c r="F142" s="17"/>
      <c r="G142" s="17" t="s">
        <v>446</v>
      </c>
      <c r="H142" s="17"/>
      <c r="I142" s="17"/>
      <c r="J142" s="17"/>
      <c r="K142" s="17" t="s">
        <v>70</v>
      </c>
      <c r="L142" s="17" t="n">
        <v>188</v>
      </c>
      <c r="M142" s="17" t="n">
        <v>7.4</v>
      </c>
      <c r="N142" s="17"/>
      <c r="O142" s="17"/>
    </row>
    <row r="143" customFormat="false" ht="15" hidden="false" customHeight="false" outlineLevel="0" collapsed="false">
      <c r="A143" s="17" t="s">
        <v>716</v>
      </c>
      <c r="B143" s="18" t="s">
        <v>91</v>
      </c>
      <c r="C143" s="18" t="s">
        <v>12</v>
      </c>
      <c r="D143" s="17" t="s">
        <v>717</v>
      </c>
      <c r="E143" s="24" t="s">
        <v>16</v>
      </c>
      <c r="F143" s="17"/>
      <c r="G143" s="17" t="s">
        <v>446</v>
      </c>
      <c r="H143" s="17"/>
      <c r="I143" s="17"/>
      <c r="J143" s="17"/>
      <c r="K143" s="17" t="s">
        <v>70</v>
      </c>
      <c r="L143" s="17" t="n">
        <v>196</v>
      </c>
      <c r="M143" s="17" t="n">
        <v>7.3</v>
      </c>
      <c r="N143" s="17"/>
      <c r="O143" s="17"/>
    </row>
    <row r="144" customFormat="false" ht="15" hidden="false" customHeight="false" outlineLevel="0" collapsed="false">
      <c r="A144" s="17" t="s">
        <v>718</v>
      </c>
      <c r="B144" s="18" t="s">
        <v>91</v>
      </c>
      <c r="C144" s="18" t="s">
        <v>12</v>
      </c>
      <c r="D144" s="17" t="s">
        <v>719</v>
      </c>
      <c r="E144" s="24" t="s">
        <v>16</v>
      </c>
      <c r="F144" s="17"/>
      <c r="G144" s="17" t="s">
        <v>446</v>
      </c>
      <c r="H144" s="17"/>
      <c r="I144" s="17"/>
      <c r="J144" s="17"/>
      <c r="K144" s="17" t="s">
        <v>70</v>
      </c>
      <c r="L144" s="17" t="n">
        <v>207</v>
      </c>
      <c r="M144" s="17" t="n">
        <v>13.5</v>
      </c>
      <c r="N144" s="17"/>
      <c r="O144" s="17"/>
    </row>
    <row r="145" customFormat="false" ht="15" hidden="false" customHeight="false" outlineLevel="0" collapsed="false">
      <c r="A145" s="17" t="s">
        <v>470</v>
      </c>
      <c r="B145" s="18" t="s">
        <v>91</v>
      </c>
      <c r="C145" s="18" t="s">
        <v>12</v>
      </c>
      <c r="D145" s="17" t="s">
        <v>720</v>
      </c>
      <c r="E145" s="24" t="s">
        <v>16</v>
      </c>
      <c r="F145" s="17"/>
      <c r="G145" s="17" t="s">
        <v>446</v>
      </c>
      <c r="H145" s="17"/>
      <c r="I145" s="17"/>
      <c r="J145" s="17"/>
      <c r="K145" s="17" t="s">
        <v>71</v>
      </c>
      <c r="L145" s="17" t="n">
        <v>135</v>
      </c>
      <c r="M145" s="17" t="n">
        <v>18.8</v>
      </c>
      <c r="N145" s="17"/>
      <c r="O145" s="17"/>
    </row>
    <row r="146" customFormat="false" ht="15" hidden="false" customHeight="false" outlineLevel="0" collapsed="false">
      <c r="A146" s="17" t="s">
        <v>95</v>
      </c>
      <c r="B146" s="18" t="s">
        <v>91</v>
      </c>
      <c r="C146" s="18" t="s">
        <v>12</v>
      </c>
      <c r="D146" s="17" t="s">
        <v>721</v>
      </c>
      <c r="E146" s="24" t="s">
        <v>16</v>
      </c>
      <c r="F146" s="17"/>
      <c r="G146" s="17" t="s">
        <v>446</v>
      </c>
      <c r="H146" s="17"/>
      <c r="I146" s="17"/>
      <c r="J146" s="17"/>
      <c r="K146" s="17" t="s">
        <v>71</v>
      </c>
      <c r="L146" s="17" t="n">
        <v>135</v>
      </c>
      <c r="M146" s="17" t="n">
        <v>16.2</v>
      </c>
      <c r="N146" s="17"/>
      <c r="O146" s="17"/>
    </row>
    <row r="147" customFormat="false" ht="15" hidden="false" customHeight="false" outlineLevel="0" collapsed="false">
      <c r="A147" s="17" t="s">
        <v>150</v>
      </c>
      <c r="B147" s="18" t="s">
        <v>91</v>
      </c>
      <c r="C147" s="18" t="s">
        <v>12</v>
      </c>
      <c r="D147" s="17" t="s">
        <v>722</v>
      </c>
      <c r="E147" s="24" t="s">
        <v>16</v>
      </c>
      <c r="F147" s="17"/>
      <c r="G147" s="17" t="s">
        <v>446</v>
      </c>
      <c r="H147" s="17"/>
      <c r="I147" s="17"/>
      <c r="J147" s="17"/>
      <c r="K147" s="17" t="s">
        <v>71</v>
      </c>
      <c r="L147" s="17" t="n">
        <v>135</v>
      </c>
      <c r="M147" s="17" t="n">
        <v>18.7</v>
      </c>
      <c r="N147" s="17"/>
      <c r="O147" s="17"/>
    </row>
    <row r="148" customFormat="false" ht="15" hidden="false" customHeight="false" outlineLevel="0" collapsed="false">
      <c r="A148" s="17" t="s">
        <v>472</v>
      </c>
      <c r="B148" s="18" t="s">
        <v>91</v>
      </c>
      <c r="C148" s="18" t="s">
        <v>12</v>
      </c>
      <c r="D148" s="17" t="s">
        <v>723</v>
      </c>
      <c r="E148" s="24" t="s">
        <v>16</v>
      </c>
      <c r="F148" s="17"/>
      <c r="G148" s="17" t="s">
        <v>446</v>
      </c>
      <c r="H148" s="17"/>
      <c r="I148" s="17"/>
      <c r="J148" s="17"/>
      <c r="K148" s="17" t="s">
        <v>71</v>
      </c>
      <c r="L148" s="17" t="n">
        <v>135</v>
      </c>
      <c r="M148" s="17" t="n">
        <v>16.2</v>
      </c>
      <c r="N148" s="17"/>
      <c r="O148" s="17"/>
    </row>
    <row r="149" customFormat="false" ht="23.85" hidden="false" customHeight="false" outlineLevel="0" collapsed="false">
      <c r="A149" s="17" t="s">
        <v>154</v>
      </c>
      <c r="B149" s="18" t="s">
        <v>91</v>
      </c>
      <c r="C149" s="18" t="s">
        <v>12</v>
      </c>
      <c r="D149" s="17" t="s">
        <v>724</v>
      </c>
      <c r="E149" s="24" t="s">
        <v>16</v>
      </c>
      <c r="F149" s="17"/>
      <c r="G149" s="17" t="s">
        <v>446</v>
      </c>
      <c r="H149" s="17"/>
      <c r="I149" s="17"/>
      <c r="J149" s="17"/>
      <c r="K149" s="17" t="s">
        <v>71</v>
      </c>
      <c r="L149" s="17" t="n">
        <v>135</v>
      </c>
      <c r="M149" s="17" t="n">
        <v>18.8</v>
      </c>
      <c r="N149" s="17"/>
      <c r="O149" s="17"/>
    </row>
    <row r="150" customFormat="false" ht="23.85" hidden="false" customHeight="false" outlineLevel="0" collapsed="false">
      <c r="A150" s="17" t="s">
        <v>474</v>
      </c>
      <c r="B150" s="18" t="s">
        <v>91</v>
      </c>
      <c r="C150" s="18" t="s">
        <v>12</v>
      </c>
      <c r="D150" s="17" t="s">
        <v>725</v>
      </c>
      <c r="E150" s="24" t="s">
        <v>16</v>
      </c>
      <c r="F150" s="17"/>
      <c r="G150" s="17" t="s">
        <v>446</v>
      </c>
      <c r="H150" s="17"/>
      <c r="I150" s="17"/>
      <c r="J150" s="17"/>
      <c r="K150" s="17" t="s">
        <v>71</v>
      </c>
      <c r="L150" s="17" t="n">
        <v>135</v>
      </c>
      <c r="M150" s="17" t="n">
        <v>16.1</v>
      </c>
      <c r="N150" s="17"/>
      <c r="O150" s="17"/>
    </row>
    <row r="151" customFormat="false" ht="15" hidden="false" customHeight="false" outlineLevel="0" collapsed="false">
      <c r="A151" s="17" t="s">
        <v>476</v>
      </c>
      <c r="B151" s="18" t="s">
        <v>91</v>
      </c>
      <c r="C151" s="18" t="s">
        <v>12</v>
      </c>
      <c r="D151" s="17" t="s">
        <v>726</v>
      </c>
      <c r="E151" s="24" t="s">
        <v>16</v>
      </c>
      <c r="F151" s="17"/>
      <c r="G151" s="17" t="s">
        <v>446</v>
      </c>
      <c r="H151" s="17"/>
      <c r="I151" s="17"/>
      <c r="J151" s="17"/>
      <c r="K151" s="17" t="s">
        <v>71</v>
      </c>
      <c r="L151" s="17" t="n">
        <v>161</v>
      </c>
      <c r="M151" s="17" t="n">
        <v>9.5</v>
      </c>
      <c r="N151" s="17"/>
      <c r="O151" s="17"/>
    </row>
    <row r="152" customFormat="false" ht="15" hidden="false" customHeight="false" outlineLevel="0" collapsed="false">
      <c r="A152" s="17" t="s">
        <v>478</v>
      </c>
      <c r="B152" s="18" t="s">
        <v>91</v>
      </c>
      <c r="C152" s="18" t="s">
        <v>12</v>
      </c>
      <c r="D152" s="17" t="s">
        <v>727</v>
      </c>
      <c r="E152" s="24" t="s">
        <v>16</v>
      </c>
      <c r="F152" s="17"/>
      <c r="G152" s="17" t="s">
        <v>446</v>
      </c>
      <c r="H152" s="17"/>
      <c r="I152" s="17"/>
      <c r="J152" s="17"/>
      <c r="K152" s="17" t="s">
        <v>71</v>
      </c>
      <c r="L152" s="17" t="n">
        <v>161</v>
      </c>
      <c r="M152" s="17" t="n">
        <v>9.6</v>
      </c>
      <c r="N152" s="17"/>
      <c r="O152" s="17"/>
    </row>
    <row r="153" customFormat="false" ht="15" hidden="false" customHeight="false" outlineLevel="0" collapsed="false">
      <c r="A153" s="17" t="s">
        <v>480</v>
      </c>
      <c r="B153" s="18" t="s">
        <v>91</v>
      </c>
      <c r="C153" s="18" t="s">
        <v>12</v>
      </c>
      <c r="D153" s="17" t="s">
        <v>728</v>
      </c>
      <c r="E153" s="24" t="s">
        <v>16</v>
      </c>
      <c r="F153" s="17"/>
      <c r="G153" s="17" t="s">
        <v>446</v>
      </c>
      <c r="H153" s="17"/>
      <c r="I153" s="17"/>
      <c r="J153" s="17"/>
      <c r="K153" s="17" t="s">
        <v>71</v>
      </c>
      <c r="L153" s="17" t="n">
        <v>161</v>
      </c>
      <c r="M153" s="17" t="n">
        <v>9.4</v>
      </c>
      <c r="N153" s="17"/>
      <c r="O153" s="17"/>
    </row>
    <row r="154" customFormat="false" ht="15" hidden="false" customHeight="false" outlineLevel="0" collapsed="false">
      <c r="A154" s="17" t="s">
        <v>482</v>
      </c>
      <c r="B154" s="18" t="s">
        <v>91</v>
      </c>
      <c r="C154" s="18" t="s">
        <v>12</v>
      </c>
      <c r="D154" s="17" t="s">
        <v>729</v>
      </c>
      <c r="E154" s="24" t="s">
        <v>16</v>
      </c>
      <c r="F154" s="17"/>
      <c r="G154" s="17" t="s">
        <v>446</v>
      </c>
      <c r="H154" s="17"/>
      <c r="I154" s="17"/>
      <c r="J154" s="17"/>
      <c r="K154" s="17" t="s">
        <v>71</v>
      </c>
      <c r="L154" s="17" t="n">
        <v>161</v>
      </c>
      <c r="M154" s="17" t="n">
        <v>6.7</v>
      </c>
      <c r="N154" s="17"/>
      <c r="O154" s="17"/>
    </row>
    <row r="155" customFormat="false" ht="15" hidden="false" customHeight="false" outlineLevel="0" collapsed="false">
      <c r="A155" s="17" t="s">
        <v>484</v>
      </c>
      <c r="B155" s="18" t="s">
        <v>91</v>
      </c>
      <c r="C155" s="18" t="s">
        <v>12</v>
      </c>
      <c r="D155" s="17" t="s">
        <v>730</v>
      </c>
      <c r="E155" s="24" t="s">
        <v>16</v>
      </c>
      <c r="F155" s="17"/>
      <c r="G155" s="17" t="s">
        <v>446</v>
      </c>
      <c r="H155" s="17"/>
      <c r="I155" s="17"/>
      <c r="J155" s="17"/>
      <c r="K155" s="17" t="s">
        <v>71</v>
      </c>
      <c r="L155" s="17" t="n">
        <v>161</v>
      </c>
      <c r="M155" s="17" t="n">
        <v>9.4</v>
      </c>
      <c r="N155" s="17"/>
      <c r="O155" s="17"/>
    </row>
    <row r="156" customFormat="false" ht="15" hidden="false" customHeight="false" outlineLevel="0" collapsed="false">
      <c r="A156" s="17" t="s">
        <v>486</v>
      </c>
      <c r="B156" s="18" t="s">
        <v>91</v>
      </c>
      <c r="C156" s="18" t="s">
        <v>12</v>
      </c>
      <c r="D156" s="17" t="s">
        <v>731</v>
      </c>
      <c r="E156" s="24" t="s">
        <v>16</v>
      </c>
      <c r="F156" s="17"/>
      <c r="G156" s="17" t="s">
        <v>446</v>
      </c>
      <c r="H156" s="17"/>
      <c r="I156" s="17"/>
      <c r="J156" s="17"/>
      <c r="K156" s="17" t="s">
        <v>71</v>
      </c>
      <c r="L156" s="17" t="n">
        <v>161</v>
      </c>
      <c r="M156" s="17" t="n">
        <v>9.3</v>
      </c>
      <c r="N156" s="17"/>
      <c r="O156" s="17"/>
    </row>
    <row r="157" customFormat="false" ht="15" hidden="false" customHeight="false" outlineLevel="0" collapsed="false">
      <c r="A157" s="17" t="s">
        <v>157</v>
      </c>
      <c r="B157" s="18" t="s">
        <v>91</v>
      </c>
      <c r="C157" s="18" t="s">
        <v>12</v>
      </c>
      <c r="D157" s="17" t="s">
        <v>158</v>
      </c>
      <c r="E157" s="24" t="s">
        <v>16</v>
      </c>
      <c r="F157" s="17"/>
      <c r="G157" s="17" t="s">
        <v>446</v>
      </c>
      <c r="H157" s="17"/>
      <c r="I157" s="17"/>
      <c r="J157" s="17"/>
      <c r="K157" s="17" t="s">
        <v>71</v>
      </c>
      <c r="L157" s="17" t="n">
        <v>187</v>
      </c>
      <c r="M157" s="17" t="n">
        <v>9.4</v>
      </c>
      <c r="N157" s="17"/>
      <c r="O157" s="17"/>
    </row>
    <row r="158" customFormat="false" ht="15" hidden="false" customHeight="false" outlineLevel="0" collapsed="false">
      <c r="A158" s="17" t="s">
        <v>160</v>
      </c>
      <c r="B158" s="18" t="s">
        <v>91</v>
      </c>
      <c r="C158" s="18" t="s">
        <v>12</v>
      </c>
      <c r="D158" s="17" t="s">
        <v>732</v>
      </c>
      <c r="E158" s="24" t="s">
        <v>16</v>
      </c>
      <c r="F158" s="17"/>
      <c r="G158" s="17" t="s">
        <v>446</v>
      </c>
      <c r="H158" s="17"/>
      <c r="I158" s="17"/>
      <c r="J158" s="17"/>
      <c r="K158" s="17" t="s">
        <v>71</v>
      </c>
      <c r="L158" s="17" t="n">
        <v>187</v>
      </c>
      <c r="M158" s="17" t="n">
        <v>6.7</v>
      </c>
      <c r="N158" s="17"/>
      <c r="O158" s="17"/>
    </row>
    <row r="159" customFormat="false" ht="15" hidden="false" customHeight="false" outlineLevel="0" collapsed="false">
      <c r="A159" s="17" t="s">
        <v>492</v>
      </c>
      <c r="B159" s="18" t="s">
        <v>91</v>
      </c>
      <c r="C159" s="18" t="s">
        <v>12</v>
      </c>
      <c r="D159" s="17" t="s">
        <v>733</v>
      </c>
      <c r="E159" s="24" t="s">
        <v>16</v>
      </c>
      <c r="F159" s="17"/>
      <c r="G159" s="17" t="s">
        <v>446</v>
      </c>
      <c r="H159" s="17"/>
      <c r="I159" s="17"/>
      <c r="J159" s="17"/>
      <c r="K159" s="17" t="s">
        <v>71</v>
      </c>
      <c r="L159" s="17" t="n">
        <v>187</v>
      </c>
      <c r="M159" s="17" t="n">
        <v>9.5</v>
      </c>
      <c r="N159" s="17"/>
      <c r="O159" s="17"/>
    </row>
    <row r="160" customFormat="false" ht="15" hidden="false" customHeight="false" outlineLevel="0" collapsed="false">
      <c r="A160" s="17" t="s">
        <v>215</v>
      </c>
      <c r="B160" s="18" t="s">
        <v>91</v>
      </c>
      <c r="C160" s="18" t="s">
        <v>12</v>
      </c>
      <c r="D160" s="17" t="s">
        <v>734</v>
      </c>
      <c r="E160" s="24" t="s">
        <v>16</v>
      </c>
      <c r="F160" s="17"/>
      <c r="G160" s="17" t="s">
        <v>446</v>
      </c>
      <c r="H160" s="17"/>
      <c r="I160" s="17"/>
      <c r="J160" s="17"/>
      <c r="K160" s="17" t="s">
        <v>71</v>
      </c>
      <c r="L160" s="17" t="n">
        <v>218</v>
      </c>
      <c r="M160" s="17" t="n">
        <v>9.2</v>
      </c>
      <c r="N160" s="17"/>
      <c r="O160" s="17"/>
    </row>
    <row r="161" customFormat="false" ht="15" hidden="false" customHeight="false" outlineLevel="0" collapsed="false">
      <c r="A161" s="17" t="s">
        <v>735</v>
      </c>
      <c r="B161" s="18" t="s">
        <v>91</v>
      </c>
      <c r="C161" s="18" t="s">
        <v>12</v>
      </c>
      <c r="D161" s="17" t="s">
        <v>736</v>
      </c>
      <c r="E161" s="24" t="s">
        <v>16</v>
      </c>
      <c r="F161" s="17"/>
      <c r="G161" s="17" t="s">
        <v>446</v>
      </c>
      <c r="H161" s="17"/>
      <c r="I161" s="17"/>
      <c r="J161" s="17"/>
      <c r="K161" s="17" t="s">
        <v>71</v>
      </c>
      <c r="L161" s="17" t="n">
        <v>249</v>
      </c>
      <c r="M161" s="17" t="n">
        <v>13.3</v>
      </c>
      <c r="N161" s="17"/>
      <c r="O161" s="17"/>
    </row>
    <row r="162" customFormat="false" ht="15" hidden="false" customHeight="false" outlineLevel="0" collapsed="false">
      <c r="A162" s="17" t="s">
        <v>737</v>
      </c>
      <c r="B162" s="18" t="s">
        <v>91</v>
      </c>
      <c r="C162" s="18" t="s">
        <v>12</v>
      </c>
      <c r="D162" s="17" t="s">
        <v>738</v>
      </c>
      <c r="E162" s="24" t="s">
        <v>16</v>
      </c>
      <c r="F162" s="17"/>
      <c r="G162" s="17" t="s">
        <v>446</v>
      </c>
      <c r="H162" s="17"/>
      <c r="I162" s="17"/>
      <c r="J162" s="17"/>
      <c r="K162" s="17" t="s">
        <v>72</v>
      </c>
      <c r="L162" s="17" t="n">
        <v>95</v>
      </c>
      <c r="M162" s="17" t="n">
        <v>9.4</v>
      </c>
      <c r="N162" s="17"/>
      <c r="O162" s="17"/>
    </row>
    <row r="163" customFormat="false" ht="15" hidden="false" customHeight="false" outlineLevel="0" collapsed="false">
      <c r="A163" s="17" t="s">
        <v>739</v>
      </c>
      <c r="B163" s="18" t="s">
        <v>91</v>
      </c>
      <c r="C163" s="18" t="s">
        <v>12</v>
      </c>
      <c r="D163" s="17" t="s">
        <v>740</v>
      </c>
      <c r="E163" s="24" t="s">
        <v>16</v>
      </c>
      <c r="F163" s="17"/>
      <c r="G163" s="17" t="s">
        <v>446</v>
      </c>
      <c r="H163" s="17"/>
      <c r="I163" s="17"/>
      <c r="J163" s="17"/>
      <c r="K163" s="17" t="s">
        <v>72</v>
      </c>
      <c r="L163" s="17" t="n">
        <v>95</v>
      </c>
      <c r="M163" s="17" t="n">
        <v>9.3</v>
      </c>
      <c r="N163" s="17"/>
      <c r="O163" s="17"/>
    </row>
    <row r="164" customFormat="false" ht="15" hidden="false" customHeight="false" outlineLevel="0" collapsed="false">
      <c r="A164" s="17" t="s">
        <v>741</v>
      </c>
      <c r="B164" s="18" t="s">
        <v>91</v>
      </c>
      <c r="C164" s="18" t="s">
        <v>12</v>
      </c>
      <c r="D164" s="17" t="s">
        <v>742</v>
      </c>
      <c r="E164" s="24" t="s">
        <v>16</v>
      </c>
      <c r="F164" s="17"/>
      <c r="G164" s="17" t="s">
        <v>446</v>
      </c>
      <c r="H164" s="17"/>
      <c r="I164" s="17"/>
      <c r="J164" s="17"/>
      <c r="K164" s="17" t="s">
        <v>72</v>
      </c>
      <c r="L164" s="17" t="n">
        <v>95</v>
      </c>
      <c r="M164" s="17" t="n">
        <v>9.3</v>
      </c>
      <c r="N164" s="17"/>
      <c r="O164" s="17"/>
    </row>
    <row r="165" customFormat="false" ht="15" hidden="false" customHeight="false" outlineLevel="0" collapsed="false">
      <c r="A165" s="17" t="s">
        <v>743</v>
      </c>
      <c r="B165" s="18" t="s">
        <v>91</v>
      </c>
      <c r="C165" s="18" t="s">
        <v>12</v>
      </c>
      <c r="D165" s="17" t="s">
        <v>744</v>
      </c>
      <c r="E165" s="24" t="s">
        <v>16</v>
      </c>
      <c r="F165" s="17"/>
      <c r="G165" s="17" t="s">
        <v>446</v>
      </c>
      <c r="H165" s="17"/>
      <c r="I165" s="17"/>
      <c r="J165" s="17"/>
      <c r="K165" s="17" t="s">
        <v>72</v>
      </c>
      <c r="L165" s="17" t="n">
        <v>95</v>
      </c>
      <c r="M165" s="17" t="n">
        <v>6.6</v>
      </c>
      <c r="N165" s="17"/>
      <c r="O165" s="17"/>
    </row>
    <row r="166" customFormat="false" ht="15" hidden="false" customHeight="false" outlineLevel="0" collapsed="false">
      <c r="A166" s="17" t="s">
        <v>745</v>
      </c>
      <c r="B166" s="18" t="s">
        <v>91</v>
      </c>
      <c r="C166" s="18" t="s">
        <v>12</v>
      </c>
      <c r="D166" s="17" t="s">
        <v>746</v>
      </c>
      <c r="E166" s="24" t="s">
        <v>16</v>
      </c>
      <c r="F166" s="17"/>
      <c r="G166" s="17" t="s">
        <v>446</v>
      </c>
      <c r="H166" s="17"/>
      <c r="I166" s="17"/>
      <c r="J166" s="17"/>
      <c r="K166" s="17" t="s">
        <v>72</v>
      </c>
      <c r="L166" s="17" t="n">
        <v>111</v>
      </c>
      <c r="M166" s="17" t="n">
        <v>12.4</v>
      </c>
      <c r="N166" s="17"/>
      <c r="O166" s="17"/>
    </row>
    <row r="167" customFormat="false" ht="15" hidden="false" customHeight="false" outlineLevel="0" collapsed="false">
      <c r="A167" s="17" t="s">
        <v>747</v>
      </c>
      <c r="B167" s="18" t="s">
        <v>91</v>
      </c>
      <c r="C167" s="18" t="s">
        <v>12</v>
      </c>
      <c r="D167" s="17" t="s">
        <v>748</v>
      </c>
      <c r="E167" s="24" t="s">
        <v>16</v>
      </c>
      <c r="F167" s="17"/>
      <c r="G167" s="17" t="s">
        <v>446</v>
      </c>
      <c r="H167" s="17"/>
      <c r="I167" s="17"/>
      <c r="J167" s="17"/>
      <c r="K167" s="17" t="s">
        <v>72</v>
      </c>
      <c r="L167" s="17" t="n">
        <v>138</v>
      </c>
      <c r="M167" s="17" t="n">
        <v>13.2</v>
      </c>
      <c r="N167" s="17"/>
      <c r="O167" s="17"/>
    </row>
    <row r="168" customFormat="false" ht="15" hidden="false" customHeight="false" outlineLevel="0" collapsed="false">
      <c r="A168" s="17" t="s">
        <v>749</v>
      </c>
      <c r="B168" s="18" t="s">
        <v>91</v>
      </c>
      <c r="C168" s="18" t="s">
        <v>12</v>
      </c>
      <c r="D168" s="17" t="s">
        <v>750</v>
      </c>
      <c r="E168" s="24" t="s">
        <v>16</v>
      </c>
      <c r="F168" s="17"/>
      <c r="G168" s="17" t="s">
        <v>446</v>
      </c>
      <c r="H168" s="17"/>
      <c r="I168" s="17"/>
      <c r="J168" s="17"/>
      <c r="K168" s="17" t="s">
        <v>72</v>
      </c>
      <c r="L168" s="17" t="n">
        <v>138</v>
      </c>
      <c r="M168" s="17" t="n">
        <v>13.3</v>
      </c>
      <c r="N168" s="17"/>
      <c r="O168" s="17"/>
    </row>
    <row r="169" customFormat="false" ht="15" hidden="false" customHeight="false" outlineLevel="0" collapsed="false">
      <c r="A169" s="17" t="s">
        <v>751</v>
      </c>
      <c r="B169" s="18" t="s">
        <v>91</v>
      </c>
      <c r="C169" s="18" t="s">
        <v>12</v>
      </c>
      <c r="D169" s="17" t="s">
        <v>752</v>
      </c>
      <c r="E169" s="24" t="s">
        <v>16</v>
      </c>
      <c r="F169" s="17"/>
      <c r="G169" s="17" t="s">
        <v>446</v>
      </c>
      <c r="H169" s="17"/>
      <c r="I169" s="17"/>
      <c r="J169" s="17"/>
      <c r="K169" s="17" t="s">
        <v>72</v>
      </c>
      <c r="L169" s="17" t="n">
        <v>138</v>
      </c>
      <c r="M169" s="17" t="n">
        <v>13.6</v>
      </c>
      <c r="N169" s="17"/>
      <c r="O169" s="17"/>
    </row>
    <row r="170" customFormat="false" ht="15" hidden="false" customHeight="false" outlineLevel="0" collapsed="false">
      <c r="A170" s="17" t="s">
        <v>753</v>
      </c>
      <c r="B170" s="18" t="s">
        <v>91</v>
      </c>
      <c r="C170" s="18" t="s">
        <v>12</v>
      </c>
      <c r="D170" s="17" t="s">
        <v>754</v>
      </c>
      <c r="E170" s="24" t="s">
        <v>16</v>
      </c>
      <c r="F170" s="17"/>
      <c r="G170" s="17" t="s">
        <v>446</v>
      </c>
      <c r="H170" s="17"/>
      <c r="I170" s="17"/>
      <c r="J170" s="17"/>
      <c r="K170" s="17" t="s">
        <v>72</v>
      </c>
      <c r="L170" s="17" t="n">
        <v>157</v>
      </c>
      <c r="M170" s="17" t="n">
        <v>11.9</v>
      </c>
      <c r="N170" s="17"/>
      <c r="O170" s="17"/>
    </row>
    <row r="171" customFormat="false" ht="15" hidden="false" customHeight="false" outlineLevel="0" collapsed="false">
      <c r="A171" s="17" t="s">
        <v>755</v>
      </c>
      <c r="B171" s="18" t="s">
        <v>91</v>
      </c>
      <c r="C171" s="18" t="s">
        <v>12</v>
      </c>
      <c r="D171" s="17" t="s">
        <v>756</v>
      </c>
      <c r="E171" s="24" t="s">
        <v>16</v>
      </c>
      <c r="F171" s="17"/>
      <c r="G171" s="17" t="s">
        <v>446</v>
      </c>
      <c r="H171" s="17"/>
      <c r="I171" s="17"/>
      <c r="J171" s="17"/>
      <c r="K171" s="17" t="s">
        <v>72</v>
      </c>
      <c r="L171" s="17" t="n">
        <v>186</v>
      </c>
      <c r="M171" s="17" t="n">
        <v>8.6</v>
      </c>
      <c r="N171" s="17"/>
      <c r="O171" s="17"/>
    </row>
    <row r="172" customFormat="false" ht="15" hidden="false" customHeight="false" outlineLevel="0" collapsed="false">
      <c r="A172" s="17" t="s">
        <v>757</v>
      </c>
      <c r="B172" s="18" t="s">
        <v>91</v>
      </c>
      <c r="C172" s="18" t="s">
        <v>12</v>
      </c>
      <c r="D172" s="17" t="s">
        <v>758</v>
      </c>
      <c r="E172" s="24" t="s">
        <v>16</v>
      </c>
      <c r="F172" s="17"/>
      <c r="G172" s="17" t="s">
        <v>446</v>
      </c>
      <c r="H172" s="17"/>
      <c r="I172" s="17"/>
      <c r="J172" s="17"/>
      <c r="K172" s="17" t="s">
        <v>72</v>
      </c>
      <c r="L172" s="17" t="n">
        <v>186</v>
      </c>
      <c r="M172" s="17" t="n">
        <v>9.4</v>
      </c>
      <c r="N172" s="17"/>
      <c r="O172" s="17"/>
    </row>
    <row r="173" customFormat="false" ht="15" hidden="false" customHeight="false" outlineLevel="0" collapsed="false">
      <c r="A173" s="17" t="s">
        <v>759</v>
      </c>
      <c r="B173" s="18" t="s">
        <v>91</v>
      </c>
      <c r="C173" s="18" t="s">
        <v>12</v>
      </c>
      <c r="D173" s="17" t="s">
        <v>760</v>
      </c>
      <c r="E173" s="24" t="s">
        <v>16</v>
      </c>
      <c r="F173" s="17"/>
      <c r="G173" s="17" t="s">
        <v>446</v>
      </c>
      <c r="H173" s="17"/>
      <c r="I173" s="17"/>
      <c r="J173" s="17"/>
      <c r="K173" s="17" t="s">
        <v>72</v>
      </c>
      <c r="L173" s="17" t="n">
        <v>186</v>
      </c>
      <c r="M173" s="17" t="n">
        <v>9.4</v>
      </c>
      <c r="N173" s="17"/>
      <c r="O173" s="17"/>
    </row>
    <row r="174" customFormat="false" ht="15" hidden="false" customHeight="false" outlineLevel="0" collapsed="false">
      <c r="A174" s="17" t="s">
        <v>651</v>
      </c>
      <c r="B174" s="18" t="s">
        <v>91</v>
      </c>
      <c r="C174" s="18" t="s">
        <v>12</v>
      </c>
      <c r="D174" s="17" t="s">
        <v>761</v>
      </c>
      <c r="E174" s="24" t="s">
        <v>16</v>
      </c>
      <c r="F174" s="17"/>
      <c r="G174" s="17" t="s">
        <v>446</v>
      </c>
      <c r="H174" s="17"/>
      <c r="I174" s="17"/>
      <c r="J174" s="17"/>
      <c r="K174" s="17" t="s">
        <v>72</v>
      </c>
      <c r="L174" s="17" t="n">
        <v>186</v>
      </c>
      <c r="M174" s="17" t="n">
        <v>9.4</v>
      </c>
      <c r="N174" s="17"/>
      <c r="O174" s="17"/>
    </row>
    <row r="175" customFormat="false" ht="15" hidden="false" customHeight="false" outlineLevel="0" collapsed="false">
      <c r="A175" s="17" t="s">
        <v>762</v>
      </c>
      <c r="B175" s="18" t="s">
        <v>91</v>
      </c>
      <c r="C175" s="18" t="s">
        <v>12</v>
      </c>
      <c r="D175" s="17" t="s">
        <v>763</v>
      </c>
      <c r="E175" s="24" t="s">
        <v>16</v>
      </c>
      <c r="F175" s="17"/>
      <c r="G175" s="17" t="s">
        <v>446</v>
      </c>
      <c r="H175" s="17"/>
      <c r="I175" s="17"/>
      <c r="J175" s="17"/>
      <c r="K175" s="17" t="s">
        <v>72</v>
      </c>
      <c r="L175" s="17" t="n">
        <v>186</v>
      </c>
      <c r="M175" s="17" t="n">
        <v>7</v>
      </c>
      <c r="N175" s="17"/>
      <c r="O175" s="17"/>
    </row>
    <row r="176" customFormat="false" ht="15" hidden="false" customHeight="false" outlineLevel="0" collapsed="false">
      <c r="A176" s="17" t="s">
        <v>743</v>
      </c>
      <c r="B176" s="18" t="s">
        <v>91</v>
      </c>
      <c r="C176" s="18" t="s">
        <v>12</v>
      </c>
      <c r="D176" s="17" t="s">
        <v>764</v>
      </c>
      <c r="E176" s="24" t="s">
        <v>16</v>
      </c>
      <c r="F176" s="17"/>
      <c r="G176" s="17" t="s">
        <v>446</v>
      </c>
      <c r="H176" s="17"/>
      <c r="I176" s="17"/>
      <c r="J176" s="17"/>
      <c r="K176" s="17" t="s">
        <v>72</v>
      </c>
      <c r="L176" s="17" t="n">
        <v>218</v>
      </c>
      <c r="M176" s="17" t="n">
        <v>9.5</v>
      </c>
      <c r="N176" s="17"/>
      <c r="O176" s="17"/>
    </row>
    <row r="177" customFormat="false" ht="15" hidden="false" customHeight="false" outlineLevel="0" collapsed="false">
      <c r="A177" s="17" t="s">
        <v>765</v>
      </c>
      <c r="B177" s="18" t="s">
        <v>91</v>
      </c>
      <c r="C177" s="18" t="s">
        <v>12</v>
      </c>
      <c r="D177" s="17" t="s">
        <v>766</v>
      </c>
      <c r="E177" s="24" t="s">
        <v>16</v>
      </c>
      <c r="F177" s="17"/>
      <c r="G177" s="17" t="s">
        <v>446</v>
      </c>
      <c r="H177" s="17"/>
      <c r="I177" s="17"/>
      <c r="J177" s="17"/>
      <c r="K177" s="17" t="s">
        <v>72</v>
      </c>
      <c r="L177" s="17" t="n">
        <v>226</v>
      </c>
      <c r="M177" s="17" t="n">
        <v>9.4</v>
      </c>
      <c r="N177" s="17"/>
      <c r="O177" s="17"/>
    </row>
    <row r="178" customFormat="false" ht="15" hidden="false" customHeight="false" outlineLevel="0" collapsed="false">
      <c r="A178" s="17" t="s">
        <v>767</v>
      </c>
      <c r="B178" s="18" t="s">
        <v>91</v>
      </c>
      <c r="C178" s="18" t="s">
        <v>12</v>
      </c>
      <c r="D178" s="17" t="s">
        <v>768</v>
      </c>
      <c r="E178" s="24" t="s">
        <v>16</v>
      </c>
      <c r="F178" s="17"/>
      <c r="G178" s="17" t="s">
        <v>446</v>
      </c>
      <c r="H178" s="17"/>
      <c r="I178" s="17"/>
      <c r="J178" s="17"/>
      <c r="K178" s="17" t="s">
        <v>72</v>
      </c>
      <c r="L178" s="17" t="n">
        <v>256</v>
      </c>
      <c r="M178" s="17" t="n">
        <v>13</v>
      </c>
      <c r="N178" s="17"/>
      <c r="O178" s="17"/>
    </row>
    <row r="179" customFormat="false" ht="15" hidden="false" customHeight="false" outlineLevel="0" collapsed="false">
      <c r="A179" s="17" t="s">
        <v>104</v>
      </c>
      <c r="B179" s="18" t="s">
        <v>91</v>
      </c>
      <c r="C179" s="18" t="s">
        <v>12</v>
      </c>
      <c r="D179" s="17" t="s">
        <v>769</v>
      </c>
      <c r="E179" s="24" t="s">
        <v>16</v>
      </c>
      <c r="F179" s="17"/>
      <c r="G179" s="17" t="s">
        <v>446</v>
      </c>
      <c r="H179" s="17"/>
      <c r="I179" s="17"/>
      <c r="J179" s="17"/>
      <c r="K179" s="17" t="s">
        <v>73</v>
      </c>
      <c r="L179" s="17" t="n">
        <v>89</v>
      </c>
      <c r="M179" s="17" t="n">
        <v>19.1</v>
      </c>
      <c r="N179" s="17"/>
      <c r="O179" s="17"/>
    </row>
    <row r="180" customFormat="false" ht="15" hidden="false" customHeight="false" outlineLevel="0" collapsed="false">
      <c r="A180" s="17" t="s">
        <v>494</v>
      </c>
      <c r="B180" s="18" t="s">
        <v>91</v>
      </c>
      <c r="C180" s="18" t="s">
        <v>12</v>
      </c>
      <c r="D180" s="17" t="s">
        <v>770</v>
      </c>
      <c r="E180" s="24" t="s">
        <v>16</v>
      </c>
      <c r="F180" s="17"/>
      <c r="G180" s="17" t="s">
        <v>446</v>
      </c>
      <c r="H180" s="17"/>
      <c r="I180" s="17"/>
      <c r="J180" s="17"/>
      <c r="K180" s="17" t="s">
        <v>73</v>
      </c>
      <c r="L180" s="17" t="n">
        <v>89</v>
      </c>
      <c r="M180" s="17" t="n">
        <v>20.4</v>
      </c>
      <c r="N180" s="17"/>
      <c r="O180" s="17"/>
    </row>
    <row r="181" customFormat="false" ht="15" hidden="false" customHeight="false" outlineLevel="0" collapsed="false">
      <c r="A181" s="17" t="s">
        <v>496</v>
      </c>
      <c r="B181" s="18" t="s">
        <v>91</v>
      </c>
      <c r="C181" s="18" t="s">
        <v>12</v>
      </c>
      <c r="D181" s="17" t="s">
        <v>771</v>
      </c>
      <c r="E181" s="24" t="s">
        <v>16</v>
      </c>
      <c r="F181" s="17"/>
      <c r="G181" s="17" t="s">
        <v>446</v>
      </c>
      <c r="H181" s="17"/>
      <c r="I181" s="17"/>
      <c r="J181" s="17"/>
      <c r="K181" s="17" t="s">
        <v>73</v>
      </c>
      <c r="L181" s="17" t="n">
        <v>89</v>
      </c>
      <c r="M181" s="17" t="n">
        <v>19.6</v>
      </c>
      <c r="N181" s="17"/>
      <c r="O181" s="17"/>
    </row>
    <row r="182" customFormat="false" ht="15" hidden="false" customHeight="false" outlineLevel="0" collapsed="false">
      <c r="A182" s="17" t="s">
        <v>498</v>
      </c>
      <c r="B182" s="18" t="s">
        <v>91</v>
      </c>
      <c r="C182" s="18" t="s">
        <v>12</v>
      </c>
      <c r="D182" s="17" t="s">
        <v>772</v>
      </c>
      <c r="E182" s="24" t="s">
        <v>16</v>
      </c>
      <c r="F182" s="17"/>
      <c r="G182" s="17" t="s">
        <v>446</v>
      </c>
      <c r="H182" s="17"/>
      <c r="I182" s="17"/>
      <c r="J182" s="17"/>
      <c r="K182" s="17" t="s">
        <v>73</v>
      </c>
      <c r="L182" s="17" t="n">
        <v>89</v>
      </c>
      <c r="M182" s="17" t="n">
        <v>16.6</v>
      </c>
      <c r="N182" s="17"/>
      <c r="O182" s="17"/>
    </row>
    <row r="183" customFormat="false" ht="15" hidden="false" customHeight="false" outlineLevel="0" collapsed="false">
      <c r="A183" s="17" t="s">
        <v>500</v>
      </c>
      <c r="B183" s="18" t="s">
        <v>91</v>
      </c>
      <c r="C183" s="18" t="s">
        <v>12</v>
      </c>
      <c r="D183" s="17" t="s">
        <v>773</v>
      </c>
      <c r="E183" s="24" t="s">
        <v>16</v>
      </c>
      <c r="F183" s="17"/>
      <c r="G183" s="17" t="s">
        <v>446</v>
      </c>
      <c r="H183" s="17"/>
      <c r="I183" s="17"/>
      <c r="J183" s="17"/>
      <c r="K183" s="17" t="s">
        <v>73</v>
      </c>
      <c r="L183" s="17" t="n">
        <v>89</v>
      </c>
      <c r="M183" s="17" t="n">
        <v>19</v>
      </c>
      <c r="N183" s="17"/>
      <c r="O183" s="17"/>
    </row>
    <row r="184" customFormat="false" ht="15" hidden="false" customHeight="false" outlineLevel="0" collapsed="false">
      <c r="A184" s="17" t="s">
        <v>502</v>
      </c>
      <c r="B184" s="18" t="s">
        <v>91</v>
      </c>
      <c r="C184" s="18" t="s">
        <v>12</v>
      </c>
      <c r="D184" s="17" t="s">
        <v>774</v>
      </c>
      <c r="E184" s="24" t="s">
        <v>16</v>
      </c>
      <c r="F184" s="17"/>
      <c r="G184" s="17" t="s">
        <v>446</v>
      </c>
      <c r="H184" s="17"/>
      <c r="I184" s="17"/>
      <c r="J184" s="17"/>
      <c r="K184" s="17" t="s">
        <v>73</v>
      </c>
      <c r="L184" s="17" t="n">
        <v>89</v>
      </c>
      <c r="M184" s="17" t="n">
        <v>20.5</v>
      </c>
      <c r="N184" s="17"/>
      <c r="O184" s="17"/>
    </row>
    <row r="185" customFormat="false" ht="15" hidden="false" customHeight="false" outlineLevel="0" collapsed="false">
      <c r="A185" s="17" t="s">
        <v>504</v>
      </c>
      <c r="B185" s="18" t="s">
        <v>91</v>
      </c>
      <c r="C185" s="18" t="s">
        <v>12</v>
      </c>
      <c r="D185" s="17" t="s">
        <v>775</v>
      </c>
      <c r="E185" s="24" t="s">
        <v>16</v>
      </c>
      <c r="F185" s="17"/>
      <c r="G185" s="17" t="s">
        <v>446</v>
      </c>
      <c r="H185" s="17"/>
      <c r="I185" s="17"/>
      <c r="J185" s="17"/>
      <c r="K185" s="17" t="s">
        <v>73</v>
      </c>
      <c r="L185" s="17" t="n">
        <v>109</v>
      </c>
      <c r="M185" s="17" t="n">
        <v>9.3</v>
      </c>
      <c r="N185" s="17"/>
      <c r="O185" s="17"/>
    </row>
    <row r="186" customFormat="false" ht="15" hidden="false" customHeight="false" outlineLevel="0" collapsed="false">
      <c r="A186" s="17" t="s">
        <v>510</v>
      </c>
      <c r="B186" s="18" t="s">
        <v>91</v>
      </c>
      <c r="C186" s="18" t="s">
        <v>12</v>
      </c>
      <c r="D186" s="17" t="s">
        <v>776</v>
      </c>
      <c r="E186" s="24" t="s">
        <v>16</v>
      </c>
      <c r="F186" s="17"/>
      <c r="G186" s="17" t="s">
        <v>446</v>
      </c>
      <c r="H186" s="17"/>
      <c r="I186" s="17"/>
      <c r="J186" s="17"/>
      <c r="K186" s="17" t="s">
        <v>73</v>
      </c>
      <c r="L186" s="17" t="n">
        <v>135</v>
      </c>
      <c r="M186" s="17" t="n">
        <v>9.4</v>
      </c>
      <c r="N186" s="17"/>
      <c r="O186" s="17"/>
    </row>
    <row r="187" customFormat="false" ht="15" hidden="false" customHeight="false" outlineLevel="0" collapsed="false">
      <c r="A187" s="17" t="s">
        <v>512</v>
      </c>
      <c r="B187" s="18" t="s">
        <v>91</v>
      </c>
      <c r="C187" s="18" t="s">
        <v>12</v>
      </c>
      <c r="D187" s="17" t="s">
        <v>777</v>
      </c>
      <c r="E187" s="24" t="s">
        <v>16</v>
      </c>
      <c r="F187" s="17"/>
      <c r="G187" s="17" t="s">
        <v>446</v>
      </c>
      <c r="H187" s="17"/>
      <c r="I187" s="17"/>
      <c r="J187" s="17"/>
      <c r="K187" s="17" t="s">
        <v>73</v>
      </c>
      <c r="L187" s="17" t="n">
        <v>135</v>
      </c>
      <c r="M187" s="17" t="n">
        <v>7.3</v>
      </c>
      <c r="N187" s="17"/>
      <c r="O187" s="17"/>
    </row>
    <row r="188" customFormat="false" ht="15" hidden="false" customHeight="false" outlineLevel="0" collapsed="false">
      <c r="A188" s="17" t="s">
        <v>514</v>
      </c>
      <c r="B188" s="18" t="s">
        <v>91</v>
      </c>
      <c r="C188" s="18" t="s">
        <v>12</v>
      </c>
      <c r="D188" s="17" t="s">
        <v>778</v>
      </c>
      <c r="E188" s="24" t="s">
        <v>16</v>
      </c>
      <c r="F188" s="17"/>
      <c r="G188" s="17" t="s">
        <v>446</v>
      </c>
      <c r="H188" s="17"/>
      <c r="I188" s="17"/>
      <c r="J188" s="17"/>
      <c r="K188" s="17" t="s">
        <v>73</v>
      </c>
      <c r="L188" s="17" t="n">
        <v>135</v>
      </c>
      <c r="M188" s="17" t="n">
        <v>9.3</v>
      </c>
      <c r="N188" s="17"/>
      <c r="O188" s="17"/>
    </row>
    <row r="189" customFormat="false" ht="15" hidden="false" customHeight="false" outlineLevel="0" collapsed="false">
      <c r="A189" s="17" t="s">
        <v>520</v>
      </c>
      <c r="B189" s="18" t="s">
        <v>91</v>
      </c>
      <c r="C189" s="18" t="s">
        <v>12</v>
      </c>
      <c r="D189" s="17" t="s">
        <v>779</v>
      </c>
      <c r="E189" s="24" t="s">
        <v>16</v>
      </c>
      <c r="F189" s="17"/>
      <c r="G189" s="17" t="s">
        <v>446</v>
      </c>
      <c r="H189" s="17"/>
      <c r="I189" s="17"/>
      <c r="J189" s="17"/>
      <c r="K189" s="17" t="s">
        <v>73</v>
      </c>
      <c r="L189" s="17" t="n">
        <v>135</v>
      </c>
      <c r="M189" s="17" t="n">
        <v>9.4</v>
      </c>
      <c r="N189" s="17"/>
      <c r="O189" s="17"/>
    </row>
    <row r="190" customFormat="false" ht="15" hidden="false" customHeight="false" outlineLevel="0" collapsed="false">
      <c r="A190" s="17" t="s">
        <v>780</v>
      </c>
      <c r="B190" s="18" t="s">
        <v>91</v>
      </c>
      <c r="C190" s="18" t="s">
        <v>12</v>
      </c>
      <c r="D190" s="17" t="s">
        <v>781</v>
      </c>
      <c r="E190" s="24" t="s">
        <v>16</v>
      </c>
      <c r="F190" s="17"/>
      <c r="G190" s="17" t="s">
        <v>446</v>
      </c>
      <c r="H190" s="17"/>
      <c r="I190" s="17"/>
      <c r="J190" s="17"/>
      <c r="K190" s="17" t="s">
        <v>73</v>
      </c>
      <c r="L190" s="17" t="n">
        <v>184</v>
      </c>
      <c r="M190" s="17" t="n">
        <v>11</v>
      </c>
      <c r="N190" s="17"/>
      <c r="O190" s="17"/>
    </row>
    <row r="191" customFormat="false" ht="15" hidden="false" customHeight="false" outlineLevel="0" collapsed="false">
      <c r="A191" s="17" t="s">
        <v>782</v>
      </c>
      <c r="B191" s="18" t="s">
        <v>91</v>
      </c>
      <c r="C191" s="18" t="s">
        <v>12</v>
      </c>
      <c r="D191" s="17" t="s">
        <v>783</v>
      </c>
      <c r="E191" s="24" t="s">
        <v>16</v>
      </c>
      <c r="F191" s="17"/>
      <c r="G191" s="17" t="s">
        <v>446</v>
      </c>
      <c r="H191" s="17"/>
      <c r="I191" s="17"/>
      <c r="J191" s="17"/>
      <c r="K191" s="17" t="s">
        <v>73</v>
      </c>
      <c r="L191" s="17" t="n">
        <v>209</v>
      </c>
      <c r="M191" s="17" t="n">
        <v>2.2</v>
      </c>
      <c r="N191" s="17"/>
      <c r="O191" s="17"/>
    </row>
    <row r="192" customFormat="false" ht="15" hidden="false" customHeight="false" outlineLevel="0" collapsed="false">
      <c r="A192" s="17" t="s">
        <v>784</v>
      </c>
      <c r="B192" s="18" t="s">
        <v>91</v>
      </c>
      <c r="C192" s="18" t="s">
        <v>12</v>
      </c>
      <c r="D192" s="17" t="s">
        <v>785</v>
      </c>
      <c r="E192" s="24" t="s">
        <v>16</v>
      </c>
      <c r="F192" s="17"/>
      <c r="G192" s="17" t="s">
        <v>446</v>
      </c>
      <c r="H192" s="17"/>
      <c r="I192" s="17"/>
      <c r="J192" s="17"/>
      <c r="K192" s="17" t="s">
        <v>73</v>
      </c>
      <c r="L192" s="17" t="n">
        <v>209</v>
      </c>
      <c r="M192" s="17" t="n">
        <v>2.2</v>
      </c>
      <c r="N192" s="17"/>
      <c r="O192" s="17"/>
    </row>
    <row r="193" customFormat="false" ht="15" hidden="false" customHeight="false" outlineLevel="0" collapsed="false">
      <c r="A193" s="17" t="s">
        <v>786</v>
      </c>
      <c r="B193" s="18" t="s">
        <v>91</v>
      </c>
      <c r="C193" s="18" t="s">
        <v>12</v>
      </c>
      <c r="D193" s="17" t="s">
        <v>787</v>
      </c>
      <c r="E193" s="24" t="s">
        <v>16</v>
      </c>
      <c r="F193" s="17"/>
      <c r="G193" s="17" t="s">
        <v>446</v>
      </c>
      <c r="H193" s="17"/>
      <c r="I193" s="17"/>
      <c r="J193" s="17"/>
      <c r="K193" s="17" t="s">
        <v>73</v>
      </c>
      <c r="L193" s="17" t="n">
        <v>278</v>
      </c>
      <c r="M193" s="17" t="n">
        <v>12.8</v>
      </c>
      <c r="N193" s="17"/>
      <c r="O193" s="17"/>
    </row>
    <row r="194" customFormat="false" ht="15" hidden="false" customHeight="false" outlineLevel="0" collapsed="false">
      <c r="A194" s="17" t="s">
        <v>788</v>
      </c>
      <c r="B194" s="18" t="s">
        <v>91</v>
      </c>
      <c r="C194" s="18" t="s">
        <v>12</v>
      </c>
      <c r="D194" s="17" t="s">
        <v>789</v>
      </c>
      <c r="E194" s="24" t="s">
        <v>16</v>
      </c>
      <c r="F194" s="17"/>
      <c r="G194" s="17" t="s">
        <v>446</v>
      </c>
      <c r="H194" s="17"/>
      <c r="I194" s="17"/>
      <c r="J194" s="17"/>
      <c r="K194" s="17" t="s">
        <v>74</v>
      </c>
      <c r="L194" s="17" t="n">
        <v>72</v>
      </c>
      <c r="M194" s="17" t="n">
        <v>15.7</v>
      </c>
      <c r="N194" s="17"/>
      <c r="O194" s="17"/>
    </row>
    <row r="195" customFormat="false" ht="15" hidden="false" customHeight="false" outlineLevel="0" collapsed="false">
      <c r="A195" s="17" t="s">
        <v>790</v>
      </c>
      <c r="B195" s="18" t="s">
        <v>91</v>
      </c>
      <c r="C195" s="18" t="s">
        <v>12</v>
      </c>
      <c r="D195" s="17" t="s">
        <v>791</v>
      </c>
      <c r="E195" s="24" t="s">
        <v>16</v>
      </c>
      <c r="F195" s="17"/>
      <c r="G195" s="17" t="s">
        <v>446</v>
      </c>
      <c r="H195" s="17"/>
      <c r="I195" s="17"/>
      <c r="J195" s="17"/>
      <c r="K195" s="17" t="s">
        <v>74</v>
      </c>
      <c r="L195" s="17" t="n">
        <v>72</v>
      </c>
      <c r="M195" s="17" t="n">
        <v>16.9</v>
      </c>
      <c r="N195" s="17"/>
      <c r="O195" s="17"/>
    </row>
    <row r="196" customFormat="false" ht="15" hidden="false" customHeight="false" outlineLevel="0" collapsed="false">
      <c r="A196" s="17" t="s">
        <v>792</v>
      </c>
      <c r="B196" s="18" t="s">
        <v>91</v>
      </c>
      <c r="C196" s="18" t="s">
        <v>12</v>
      </c>
      <c r="D196" s="17" t="s">
        <v>793</v>
      </c>
      <c r="E196" s="24" t="s">
        <v>16</v>
      </c>
      <c r="F196" s="17"/>
      <c r="G196" s="17" t="s">
        <v>446</v>
      </c>
      <c r="H196" s="17"/>
      <c r="I196" s="17"/>
      <c r="J196" s="17"/>
      <c r="K196" s="17" t="s">
        <v>74</v>
      </c>
      <c r="L196" s="17" t="n">
        <v>111</v>
      </c>
      <c r="M196" s="17" t="n">
        <v>11.5</v>
      </c>
      <c r="N196" s="17"/>
      <c r="O196" s="17"/>
    </row>
    <row r="197" customFormat="false" ht="15" hidden="false" customHeight="false" outlineLevel="0" collapsed="false">
      <c r="A197" s="17" t="s">
        <v>794</v>
      </c>
      <c r="B197" s="18" t="s">
        <v>91</v>
      </c>
      <c r="C197" s="18" t="s">
        <v>12</v>
      </c>
      <c r="D197" s="17" t="s">
        <v>795</v>
      </c>
      <c r="E197" s="24" t="s">
        <v>16</v>
      </c>
      <c r="F197" s="17"/>
      <c r="G197" s="17" t="s">
        <v>446</v>
      </c>
      <c r="H197" s="17"/>
      <c r="I197" s="17"/>
      <c r="J197" s="17"/>
      <c r="K197" s="17" t="s">
        <v>74</v>
      </c>
      <c r="L197" s="17" t="n">
        <v>111</v>
      </c>
      <c r="M197" s="17" t="n">
        <v>13.5</v>
      </c>
      <c r="N197" s="17"/>
      <c r="O197" s="17"/>
    </row>
    <row r="198" customFormat="false" ht="15" hidden="false" customHeight="false" outlineLevel="0" collapsed="false">
      <c r="A198" s="17" t="s">
        <v>796</v>
      </c>
      <c r="B198" s="18" t="s">
        <v>91</v>
      </c>
      <c r="C198" s="18" t="s">
        <v>12</v>
      </c>
      <c r="D198" s="17" t="s">
        <v>797</v>
      </c>
      <c r="E198" s="24" t="s">
        <v>16</v>
      </c>
      <c r="F198" s="17"/>
      <c r="G198" s="17" t="s">
        <v>446</v>
      </c>
      <c r="H198" s="17"/>
      <c r="I198" s="17"/>
      <c r="J198" s="17"/>
      <c r="K198" s="17" t="s">
        <v>74</v>
      </c>
      <c r="L198" s="17" t="n">
        <v>111</v>
      </c>
      <c r="M198" s="17" t="n">
        <v>12.7</v>
      </c>
      <c r="N198" s="17"/>
      <c r="O198" s="17"/>
    </row>
    <row r="199" customFormat="false" ht="15" hidden="false" customHeight="false" outlineLevel="0" collapsed="false">
      <c r="A199" s="17" t="s">
        <v>798</v>
      </c>
      <c r="B199" s="18" t="s">
        <v>91</v>
      </c>
      <c r="C199" s="18" t="s">
        <v>12</v>
      </c>
      <c r="D199" s="17" t="s">
        <v>799</v>
      </c>
      <c r="E199" s="24" t="s">
        <v>16</v>
      </c>
      <c r="F199" s="17"/>
      <c r="G199" s="17" t="s">
        <v>446</v>
      </c>
      <c r="H199" s="17"/>
      <c r="I199" s="17"/>
      <c r="J199" s="17"/>
      <c r="K199" s="17" t="s">
        <v>74</v>
      </c>
      <c r="L199" s="17" t="n">
        <v>111</v>
      </c>
      <c r="M199" s="17" t="n">
        <v>15.6</v>
      </c>
      <c r="N199" s="17"/>
      <c r="O199" s="17"/>
    </row>
    <row r="200" customFormat="false" ht="15" hidden="false" customHeight="false" outlineLevel="0" collapsed="false">
      <c r="A200" s="17" t="s">
        <v>800</v>
      </c>
      <c r="B200" s="18" t="s">
        <v>91</v>
      </c>
      <c r="C200" s="18" t="s">
        <v>12</v>
      </c>
      <c r="D200" s="17" t="s">
        <v>801</v>
      </c>
      <c r="E200" s="24" t="s">
        <v>16</v>
      </c>
      <c r="F200" s="17"/>
      <c r="G200" s="17" t="s">
        <v>446</v>
      </c>
      <c r="H200" s="17"/>
      <c r="I200" s="17"/>
      <c r="J200" s="17"/>
      <c r="K200" s="17" t="s">
        <v>74</v>
      </c>
      <c r="L200" s="17" t="n">
        <v>125</v>
      </c>
      <c r="M200" s="17" t="n">
        <v>8.9</v>
      </c>
      <c r="N200" s="17"/>
      <c r="O200" s="17"/>
    </row>
    <row r="201" customFormat="false" ht="15" hidden="false" customHeight="false" outlineLevel="0" collapsed="false">
      <c r="A201" s="17" t="s">
        <v>802</v>
      </c>
      <c r="B201" s="18" t="s">
        <v>91</v>
      </c>
      <c r="C201" s="18" t="s">
        <v>12</v>
      </c>
      <c r="D201" s="17" t="s">
        <v>803</v>
      </c>
      <c r="E201" s="24" t="s">
        <v>16</v>
      </c>
      <c r="F201" s="17"/>
      <c r="G201" s="17" t="s">
        <v>446</v>
      </c>
      <c r="H201" s="17"/>
      <c r="I201" s="17"/>
      <c r="J201" s="17"/>
      <c r="K201" s="17" t="s">
        <v>74</v>
      </c>
      <c r="L201" s="17" t="n">
        <v>134</v>
      </c>
      <c r="M201" s="17" t="n">
        <v>8.9</v>
      </c>
      <c r="N201" s="17"/>
      <c r="O201" s="17"/>
    </row>
    <row r="202" customFormat="false" ht="15" hidden="false" customHeight="false" outlineLevel="0" collapsed="false">
      <c r="A202" s="17" t="s">
        <v>518</v>
      </c>
      <c r="B202" s="18" t="s">
        <v>91</v>
      </c>
      <c r="C202" s="18" t="s">
        <v>12</v>
      </c>
      <c r="D202" s="17" t="s">
        <v>804</v>
      </c>
      <c r="E202" s="24" t="s">
        <v>16</v>
      </c>
      <c r="F202" s="17"/>
      <c r="G202" s="17" t="s">
        <v>446</v>
      </c>
      <c r="H202" s="17"/>
      <c r="I202" s="17"/>
      <c r="J202" s="17"/>
      <c r="K202" s="17" t="s">
        <v>74</v>
      </c>
      <c r="L202" s="17" t="n">
        <v>146</v>
      </c>
      <c r="M202" s="17" t="n">
        <v>9</v>
      </c>
      <c r="N202" s="17"/>
      <c r="O202" s="17"/>
    </row>
    <row r="203" customFormat="false" ht="15" hidden="false" customHeight="false" outlineLevel="0" collapsed="false">
      <c r="A203" s="17" t="s">
        <v>805</v>
      </c>
      <c r="B203" s="18" t="s">
        <v>91</v>
      </c>
      <c r="C203" s="18" t="s">
        <v>12</v>
      </c>
      <c r="D203" s="17" t="s">
        <v>806</v>
      </c>
      <c r="E203" s="24" t="s">
        <v>16</v>
      </c>
      <c r="F203" s="17"/>
      <c r="G203" s="17" t="s">
        <v>446</v>
      </c>
      <c r="H203" s="17"/>
      <c r="I203" s="17"/>
      <c r="J203" s="17"/>
      <c r="K203" s="17" t="s">
        <v>74</v>
      </c>
      <c r="L203" s="17" t="n">
        <v>157</v>
      </c>
      <c r="M203" s="17" t="n">
        <v>1.3</v>
      </c>
      <c r="N203" s="17"/>
      <c r="O203" s="17"/>
    </row>
    <row r="204" customFormat="false" ht="15" hidden="false" customHeight="false" outlineLevel="0" collapsed="false">
      <c r="A204" s="17" t="s">
        <v>807</v>
      </c>
      <c r="B204" s="18" t="s">
        <v>91</v>
      </c>
      <c r="C204" s="18" t="s">
        <v>12</v>
      </c>
      <c r="D204" s="17" t="s">
        <v>808</v>
      </c>
      <c r="E204" s="24" t="s">
        <v>16</v>
      </c>
      <c r="F204" s="17"/>
      <c r="G204" s="17" t="s">
        <v>446</v>
      </c>
      <c r="H204" s="17"/>
      <c r="I204" s="17"/>
      <c r="J204" s="17"/>
      <c r="K204" s="17" t="s">
        <v>74</v>
      </c>
      <c r="L204" s="17" t="n">
        <v>173</v>
      </c>
      <c r="M204" s="17" t="n">
        <v>8</v>
      </c>
      <c r="N204" s="17"/>
      <c r="O204" s="17"/>
    </row>
    <row r="205" customFormat="false" ht="15" hidden="false" customHeight="false" outlineLevel="0" collapsed="false">
      <c r="A205" s="17" t="s">
        <v>809</v>
      </c>
      <c r="B205" s="18" t="s">
        <v>91</v>
      </c>
      <c r="C205" s="18" t="s">
        <v>12</v>
      </c>
      <c r="D205" s="17" t="s">
        <v>810</v>
      </c>
      <c r="E205" s="24" t="s">
        <v>16</v>
      </c>
      <c r="F205" s="17"/>
      <c r="G205" s="17" t="s">
        <v>446</v>
      </c>
      <c r="H205" s="17"/>
      <c r="I205" s="17"/>
      <c r="J205" s="17"/>
      <c r="K205" s="17" t="s">
        <v>75</v>
      </c>
      <c r="L205" s="17" t="n">
        <v>65</v>
      </c>
      <c r="M205" s="17" t="n">
        <v>9.1</v>
      </c>
      <c r="N205" s="17"/>
      <c r="O205" s="17"/>
    </row>
    <row r="206" customFormat="false" ht="15" hidden="false" customHeight="false" outlineLevel="0" collapsed="false">
      <c r="A206" s="17" t="s">
        <v>811</v>
      </c>
      <c r="B206" s="18" t="s">
        <v>91</v>
      </c>
      <c r="C206" s="18" t="s">
        <v>12</v>
      </c>
      <c r="D206" s="17" t="s">
        <v>812</v>
      </c>
      <c r="E206" s="24" t="s">
        <v>16</v>
      </c>
      <c r="F206" s="17"/>
      <c r="G206" s="17" t="s">
        <v>446</v>
      </c>
      <c r="H206" s="17"/>
      <c r="I206" s="17"/>
      <c r="J206" s="17"/>
      <c r="K206" s="17" t="s">
        <v>75</v>
      </c>
      <c r="L206" s="17" t="n">
        <v>65</v>
      </c>
      <c r="M206" s="17" t="n">
        <v>9.2</v>
      </c>
      <c r="N206" s="17"/>
      <c r="O206" s="17"/>
    </row>
    <row r="207" customFormat="false" ht="15" hidden="false" customHeight="false" outlineLevel="0" collapsed="false">
      <c r="A207" s="17" t="s">
        <v>813</v>
      </c>
      <c r="B207" s="18" t="s">
        <v>91</v>
      </c>
      <c r="C207" s="18" t="s">
        <v>12</v>
      </c>
      <c r="D207" s="17" t="s">
        <v>814</v>
      </c>
      <c r="E207" s="24" t="s">
        <v>16</v>
      </c>
      <c r="F207" s="17"/>
      <c r="G207" s="17" t="s">
        <v>446</v>
      </c>
      <c r="H207" s="17"/>
      <c r="I207" s="17"/>
      <c r="J207" s="17"/>
      <c r="K207" s="17" t="s">
        <v>75</v>
      </c>
      <c r="L207" s="17" t="n">
        <v>65</v>
      </c>
      <c r="M207" s="17" t="n">
        <v>9.2</v>
      </c>
      <c r="N207" s="17"/>
      <c r="O207" s="17"/>
    </row>
    <row r="208" customFormat="false" ht="15" hidden="false" customHeight="false" outlineLevel="0" collapsed="false">
      <c r="A208" s="17" t="s">
        <v>815</v>
      </c>
      <c r="B208" s="18" t="s">
        <v>91</v>
      </c>
      <c r="C208" s="18" t="s">
        <v>12</v>
      </c>
      <c r="D208" s="17" t="s">
        <v>816</v>
      </c>
      <c r="E208" s="24" t="s">
        <v>16</v>
      </c>
      <c r="F208" s="17"/>
      <c r="G208" s="17" t="s">
        <v>446</v>
      </c>
      <c r="H208" s="17"/>
      <c r="I208" s="17"/>
      <c r="J208" s="17"/>
      <c r="K208" s="17" t="s">
        <v>75</v>
      </c>
      <c r="L208" s="17" t="n">
        <v>65</v>
      </c>
      <c r="M208" s="17" t="n">
        <v>7</v>
      </c>
      <c r="N208" s="17"/>
      <c r="O208" s="17"/>
    </row>
    <row r="209" customFormat="false" ht="15" hidden="false" customHeight="false" outlineLevel="0" collapsed="false">
      <c r="A209" s="17" t="s">
        <v>817</v>
      </c>
      <c r="B209" s="18" t="s">
        <v>91</v>
      </c>
      <c r="C209" s="18" t="s">
        <v>12</v>
      </c>
      <c r="D209" s="17" t="s">
        <v>818</v>
      </c>
      <c r="E209" s="24" t="s">
        <v>16</v>
      </c>
      <c r="F209" s="17"/>
      <c r="G209" s="17" t="s">
        <v>446</v>
      </c>
      <c r="H209" s="17"/>
      <c r="I209" s="17"/>
      <c r="J209" s="17"/>
      <c r="K209" s="17" t="s">
        <v>75</v>
      </c>
      <c r="L209" s="17" t="n">
        <v>65</v>
      </c>
      <c r="M209" s="17" t="n">
        <v>9.1</v>
      </c>
      <c r="N209" s="17"/>
      <c r="O209" s="17"/>
    </row>
    <row r="210" customFormat="false" ht="15" hidden="false" customHeight="false" outlineLevel="0" collapsed="false">
      <c r="A210" s="17" t="s">
        <v>819</v>
      </c>
      <c r="B210" s="18" t="s">
        <v>91</v>
      </c>
      <c r="C210" s="18" t="s">
        <v>12</v>
      </c>
      <c r="D210" s="17" t="s">
        <v>820</v>
      </c>
      <c r="E210" s="24" t="s">
        <v>16</v>
      </c>
      <c r="F210" s="17"/>
      <c r="G210" s="17" t="s">
        <v>446</v>
      </c>
      <c r="H210" s="17"/>
      <c r="I210" s="17"/>
      <c r="J210" s="17"/>
      <c r="K210" s="17" t="s">
        <v>75</v>
      </c>
      <c r="L210" s="17" t="n">
        <v>65</v>
      </c>
      <c r="M210" s="17" t="n">
        <v>9.2</v>
      </c>
      <c r="N210" s="17"/>
      <c r="O210" s="17"/>
    </row>
    <row r="211" customFormat="false" ht="15" hidden="false" customHeight="false" outlineLevel="0" collapsed="false">
      <c r="A211" s="17" t="s">
        <v>821</v>
      </c>
      <c r="B211" s="18" t="s">
        <v>91</v>
      </c>
      <c r="C211" s="18" t="s">
        <v>12</v>
      </c>
      <c r="D211" s="17" t="s">
        <v>822</v>
      </c>
      <c r="E211" s="24" t="s">
        <v>16</v>
      </c>
      <c r="F211" s="17"/>
      <c r="G211" s="17" t="s">
        <v>446</v>
      </c>
      <c r="H211" s="17"/>
      <c r="I211" s="17"/>
      <c r="J211" s="17"/>
      <c r="K211" s="17" t="s">
        <v>75</v>
      </c>
      <c r="L211" s="17" t="n">
        <v>84</v>
      </c>
      <c r="M211" s="17" t="n">
        <v>6.9</v>
      </c>
      <c r="N211" s="17"/>
      <c r="O211" s="17"/>
    </row>
    <row r="212" customFormat="false" ht="15" hidden="false" customHeight="false" outlineLevel="0" collapsed="false">
      <c r="A212" s="17" t="s">
        <v>823</v>
      </c>
      <c r="B212" s="18" t="s">
        <v>91</v>
      </c>
      <c r="C212" s="18" t="s">
        <v>12</v>
      </c>
      <c r="D212" s="17" t="s">
        <v>824</v>
      </c>
      <c r="E212" s="24" t="s">
        <v>16</v>
      </c>
      <c r="F212" s="17"/>
      <c r="G212" s="17" t="s">
        <v>446</v>
      </c>
      <c r="H212" s="17"/>
      <c r="I212" s="17"/>
      <c r="J212" s="17"/>
      <c r="K212" s="17" t="s">
        <v>75</v>
      </c>
      <c r="L212" s="17" t="n">
        <v>97</v>
      </c>
      <c r="M212" s="17" t="n">
        <v>9.2</v>
      </c>
      <c r="N212" s="17"/>
      <c r="O212" s="17"/>
    </row>
    <row r="213" customFormat="false" ht="15" hidden="false" customHeight="false" outlineLevel="0" collapsed="false">
      <c r="A213" s="17" t="s">
        <v>825</v>
      </c>
      <c r="B213" s="18" t="s">
        <v>91</v>
      </c>
      <c r="C213" s="18" t="s">
        <v>12</v>
      </c>
      <c r="D213" s="17" t="s">
        <v>826</v>
      </c>
      <c r="E213" s="24" t="s">
        <v>16</v>
      </c>
      <c r="F213" s="17"/>
      <c r="G213" s="17" t="s">
        <v>446</v>
      </c>
      <c r="H213" s="17"/>
      <c r="I213" s="17"/>
      <c r="J213" s="17"/>
      <c r="K213" s="17" t="s">
        <v>75</v>
      </c>
      <c r="L213" s="17" t="n">
        <v>111</v>
      </c>
      <c r="M213" s="17" t="n">
        <v>6.8</v>
      </c>
      <c r="N213" s="17"/>
      <c r="O213" s="17"/>
    </row>
    <row r="214" customFormat="false" ht="15" hidden="false" customHeight="false" outlineLevel="0" collapsed="false">
      <c r="A214" s="17" t="s">
        <v>827</v>
      </c>
      <c r="B214" s="18" t="s">
        <v>91</v>
      </c>
      <c r="C214" s="18" t="s">
        <v>12</v>
      </c>
      <c r="D214" s="17" t="s">
        <v>828</v>
      </c>
      <c r="E214" s="24" t="s">
        <v>16</v>
      </c>
      <c r="F214" s="17"/>
      <c r="G214" s="17" t="s">
        <v>446</v>
      </c>
      <c r="H214" s="17"/>
      <c r="I214" s="17"/>
      <c r="J214" s="17"/>
      <c r="K214" s="17" t="s">
        <v>75</v>
      </c>
      <c r="L214" s="17" t="n">
        <v>121</v>
      </c>
      <c r="M214" s="17" t="n">
        <v>7</v>
      </c>
      <c r="N214" s="17"/>
      <c r="O214" s="17"/>
    </row>
    <row r="215" customFormat="false" ht="15" hidden="false" customHeight="false" outlineLevel="0" collapsed="false">
      <c r="A215" s="17" t="s">
        <v>829</v>
      </c>
      <c r="B215" s="18" t="s">
        <v>91</v>
      </c>
      <c r="C215" s="18" t="s">
        <v>12</v>
      </c>
      <c r="D215" s="17" t="s">
        <v>830</v>
      </c>
      <c r="E215" s="24" t="s">
        <v>16</v>
      </c>
      <c r="F215" s="17"/>
      <c r="G215" s="17" t="s">
        <v>446</v>
      </c>
      <c r="H215" s="17"/>
      <c r="I215" s="17"/>
      <c r="J215" s="17"/>
      <c r="K215" s="17" t="s">
        <v>75</v>
      </c>
      <c r="L215" s="17" t="n">
        <v>135</v>
      </c>
      <c r="M215" s="17" t="n">
        <v>7</v>
      </c>
      <c r="N215" s="17"/>
      <c r="O215" s="17"/>
    </row>
    <row r="216" customFormat="false" ht="15" hidden="false" customHeight="false" outlineLevel="0" collapsed="false">
      <c r="A216" s="17" t="s">
        <v>831</v>
      </c>
      <c r="B216" s="18" t="s">
        <v>91</v>
      </c>
      <c r="C216" s="18" t="s">
        <v>12</v>
      </c>
      <c r="D216" s="17" t="s">
        <v>832</v>
      </c>
      <c r="E216" s="24" t="s">
        <v>16</v>
      </c>
      <c r="F216" s="17"/>
      <c r="G216" s="17" t="s">
        <v>446</v>
      </c>
      <c r="H216" s="17"/>
      <c r="I216" s="17"/>
      <c r="J216" s="17"/>
      <c r="K216" s="17" t="s">
        <v>75</v>
      </c>
      <c r="L216" s="17" t="n">
        <v>145</v>
      </c>
      <c r="M216" s="17" t="n">
        <v>9.2</v>
      </c>
      <c r="N216" s="17"/>
      <c r="O216" s="17"/>
    </row>
    <row r="217" customFormat="false" ht="15" hidden="false" customHeight="false" outlineLevel="0" collapsed="false">
      <c r="A217" s="17" t="s">
        <v>833</v>
      </c>
      <c r="B217" s="18" t="s">
        <v>91</v>
      </c>
      <c r="C217" s="18" t="s">
        <v>12</v>
      </c>
      <c r="D217" s="17" t="s">
        <v>834</v>
      </c>
      <c r="E217" s="24" t="s">
        <v>16</v>
      </c>
      <c r="F217" s="17"/>
      <c r="G217" s="17" t="s">
        <v>446</v>
      </c>
      <c r="H217" s="17"/>
      <c r="I217" s="17"/>
      <c r="J217" s="17"/>
      <c r="K217" s="17" t="s">
        <v>75</v>
      </c>
      <c r="L217" s="17" t="n">
        <v>166</v>
      </c>
      <c r="M217" s="17" t="n">
        <v>4.5</v>
      </c>
      <c r="N217" s="17"/>
      <c r="O217" s="17"/>
    </row>
    <row r="218" customFormat="false" ht="15" hidden="false" customHeight="false" outlineLevel="0" collapsed="false">
      <c r="A218" s="17" t="s">
        <v>835</v>
      </c>
      <c r="B218" s="18" t="s">
        <v>91</v>
      </c>
      <c r="C218" s="18" t="s">
        <v>12</v>
      </c>
      <c r="D218" s="17" t="s">
        <v>836</v>
      </c>
      <c r="E218" s="24" t="s">
        <v>16</v>
      </c>
      <c r="F218" s="17"/>
      <c r="G218" s="17" t="s">
        <v>446</v>
      </c>
      <c r="H218" s="17"/>
      <c r="I218" s="17"/>
      <c r="J218" s="17"/>
      <c r="K218" s="17" t="s">
        <v>75</v>
      </c>
      <c r="L218" s="17" t="n">
        <v>166</v>
      </c>
      <c r="M218" s="17" t="n">
        <v>6.8</v>
      </c>
      <c r="N218" s="17"/>
      <c r="O218" s="17"/>
    </row>
    <row r="219" customFormat="false" ht="15" hidden="false" customHeight="false" outlineLevel="0" collapsed="false">
      <c r="A219" s="17" t="s">
        <v>837</v>
      </c>
      <c r="B219" s="18" t="s">
        <v>91</v>
      </c>
      <c r="C219" s="18" t="s">
        <v>12</v>
      </c>
      <c r="D219" s="17" t="s">
        <v>838</v>
      </c>
      <c r="E219" s="24" t="s">
        <v>16</v>
      </c>
      <c r="F219" s="17"/>
      <c r="G219" s="17" t="s">
        <v>446</v>
      </c>
      <c r="H219" s="17"/>
      <c r="I219" s="17"/>
      <c r="J219" s="17"/>
      <c r="K219" s="17" t="s">
        <v>75</v>
      </c>
      <c r="L219" s="17" t="n">
        <v>179</v>
      </c>
      <c r="M219" s="17" t="n">
        <v>14.1</v>
      </c>
      <c r="N219" s="17"/>
      <c r="O219" s="17"/>
    </row>
    <row r="220" customFormat="false" ht="15" hidden="false" customHeight="false" outlineLevel="0" collapsed="false">
      <c r="A220" s="17" t="s">
        <v>839</v>
      </c>
      <c r="B220" s="18" t="s">
        <v>91</v>
      </c>
      <c r="C220" s="18" t="s">
        <v>12</v>
      </c>
      <c r="D220" s="17" t="s">
        <v>840</v>
      </c>
      <c r="E220" s="24" t="s">
        <v>16</v>
      </c>
      <c r="F220" s="17"/>
      <c r="G220" s="17" t="s">
        <v>446</v>
      </c>
      <c r="H220" s="17"/>
      <c r="I220" s="17"/>
      <c r="J220" s="17"/>
      <c r="K220" s="17" t="s">
        <v>75</v>
      </c>
      <c r="L220" s="17" t="n">
        <v>196</v>
      </c>
      <c r="M220" s="17" t="n">
        <v>7.5</v>
      </c>
      <c r="N220" s="17"/>
      <c r="O220" s="17"/>
    </row>
  </sheetData>
  <autoFilter ref="A2:M220"/>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B19" r:id="rId33" display="Open case"/>
    <hyperlink ref="C19" r:id="rId34" display="Run 415"/>
    <hyperlink ref="B20" r:id="rId35" display="Open case"/>
    <hyperlink ref="C20" r:id="rId36" display="Run 415"/>
    <hyperlink ref="B21" r:id="rId37" display="Open case"/>
    <hyperlink ref="C21" r:id="rId38" display="Run 415"/>
    <hyperlink ref="B22" r:id="rId39" display="Open case"/>
    <hyperlink ref="C22" r:id="rId40" display="Run 415"/>
    <hyperlink ref="B23" r:id="rId41" display="Open case"/>
    <hyperlink ref="C23" r:id="rId42" display="Run 415"/>
    <hyperlink ref="B24" r:id="rId43" display="Open case"/>
    <hyperlink ref="C24" r:id="rId44" display="Run 415"/>
    <hyperlink ref="B25" r:id="rId45" display="Open case"/>
    <hyperlink ref="C25" r:id="rId46" display="Run 415"/>
    <hyperlink ref="B26" r:id="rId47" display="Open case"/>
    <hyperlink ref="C26" r:id="rId48" display="Run 415"/>
    <hyperlink ref="B27" r:id="rId49" display="Open case"/>
    <hyperlink ref="C27" r:id="rId50" display="Run 415"/>
    <hyperlink ref="B28" r:id="rId51" display="Open case"/>
    <hyperlink ref="C28" r:id="rId52" display="Run 415"/>
    <hyperlink ref="B29" r:id="rId53" display="Open case"/>
    <hyperlink ref="C29" r:id="rId54" display="Run 415"/>
    <hyperlink ref="B30" r:id="rId55" display="Open case"/>
    <hyperlink ref="C30" r:id="rId56" display="Run 415"/>
    <hyperlink ref="B31" r:id="rId57" display="Open case"/>
    <hyperlink ref="C31" r:id="rId58" display="Run 415"/>
    <hyperlink ref="B32" r:id="rId59" display="Open case"/>
    <hyperlink ref="C32" r:id="rId60" display="Run 415"/>
    <hyperlink ref="B33" r:id="rId61" display="Open case"/>
    <hyperlink ref="C33" r:id="rId62" display="Run 415"/>
    <hyperlink ref="B34" r:id="rId63" display="Open case"/>
    <hyperlink ref="C34" r:id="rId64" display="Run 415"/>
    <hyperlink ref="B35" r:id="rId65" display="Open case"/>
    <hyperlink ref="C35" r:id="rId66" display="Run 415"/>
    <hyperlink ref="B36" r:id="rId67" display="Open case"/>
    <hyperlink ref="C36" r:id="rId68" display="Run 415"/>
    <hyperlink ref="B37" r:id="rId69" display="Open case"/>
    <hyperlink ref="C37" r:id="rId70" display="Run 415"/>
    <hyperlink ref="B38" r:id="rId71" display="Open case"/>
    <hyperlink ref="C38" r:id="rId72" display="Run 415"/>
    <hyperlink ref="B39" r:id="rId73" display="Open case"/>
    <hyperlink ref="C39" r:id="rId74" display="Run 415"/>
    <hyperlink ref="B40" r:id="rId75" display="Open case"/>
    <hyperlink ref="C40" r:id="rId76" display="Run 415"/>
    <hyperlink ref="B41" r:id="rId77" display="Open case"/>
    <hyperlink ref="C41" r:id="rId78" display="Run 415"/>
    <hyperlink ref="B42" r:id="rId79" display="Open case"/>
    <hyperlink ref="C42" r:id="rId80" display="Run 415"/>
    <hyperlink ref="B43" r:id="rId81" display="Open case"/>
    <hyperlink ref="C43" r:id="rId82" display="Run 415"/>
    <hyperlink ref="B44" r:id="rId83" display="Open case"/>
    <hyperlink ref="C44" r:id="rId84" display="Run 415"/>
    <hyperlink ref="B45" r:id="rId85" display="Open case"/>
    <hyperlink ref="C45" r:id="rId86" display="Run 415"/>
    <hyperlink ref="B46" r:id="rId87" display="Open case"/>
    <hyperlink ref="C46" r:id="rId88" display="Run 415"/>
    <hyperlink ref="B47" r:id="rId89" display="Open case"/>
    <hyperlink ref="C47" r:id="rId90" display="Run 415"/>
    <hyperlink ref="B48" r:id="rId91" display="Open case"/>
    <hyperlink ref="C48" r:id="rId92" display="Run 415"/>
    <hyperlink ref="B49" r:id="rId93" display="Open case"/>
    <hyperlink ref="C49" r:id="rId94" display="Run 415"/>
    <hyperlink ref="B50" r:id="rId95" display="Open case"/>
    <hyperlink ref="C50" r:id="rId96" display="Run 415"/>
    <hyperlink ref="B51" r:id="rId97" display="Open case"/>
    <hyperlink ref="C51" r:id="rId98" display="Run 415"/>
    <hyperlink ref="B52" r:id="rId99" display="Open case"/>
    <hyperlink ref="C52" r:id="rId100" display="Run 415"/>
    <hyperlink ref="B53" r:id="rId101" display="Open case"/>
    <hyperlink ref="C53" r:id="rId102" display="Run 415"/>
    <hyperlink ref="B54" r:id="rId103" display="Open case"/>
    <hyperlink ref="C54" r:id="rId104" display="Run 415"/>
    <hyperlink ref="B55" r:id="rId105" display="Open case"/>
    <hyperlink ref="C55" r:id="rId106" display="Run 415"/>
    <hyperlink ref="B56" r:id="rId107" display="Open case"/>
    <hyperlink ref="C56" r:id="rId108" display="Run 415"/>
    <hyperlink ref="B57" r:id="rId109" display="Open case"/>
    <hyperlink ref="C57" r:id="rId110" display="Run 415"/>
    <hyperlink ref="B58" r:id="rId111" display="Open case"/>
    <hyperlink ref="C58" r:id="rId112" display="Run 415"/>
    <hyperlink ref="B59" r:id="rId113" display="Open case"/>
    <hyperlink ref="C59" r:id="rId114" display="Run 415"/>
    <hyperlink ref="B60" r:id="rId115" display="Open case"/>
    <hyperlink ref="C60" r:id="rId116" display="Run 415"/>
    <hyperlink ref="B61" r:id="rId117" display="Open case"/>
    <hyperlink ref="C61" r:id="rId118" display="Run 415"/>
    <hyperlink ref="B62" r:id="rId119" display="Open case"/>
    <hyperlink ref="C62" r:id="rId120" display="Run 415"/>
    <hyperlink ref="B63" r:id="rId121" display="Open case"/>
    <hyperlink ref="C63" r:id="rId122" display="Run 415"/>
    <hyperlink ref="B64" r:id="rId123" display="Open case"/>
    <hyperlink ref="C64" r:id="rId124" display="Run 415"/>
    <hyperlink ref="B65" r:id="rId125" display="Open case"/>
    <hyperlink ref="C65" r:id="rId126" display="Run 415"/>
    <hyperlink ref="B66" r:id="rId127" display="Open case"/>
    <hyperlink ref="C66" r:id="rId128" display="Run 415"/>
    <hyperlink ref="B67" r:id="rId129" display="Open case"/>
    <hyperlink ref="C67" r:id="rId130" display="Run 415"/>
    <hyperlink ref="B68" r:id="rId131" display="Open case"/>
    <hyperlink ref="C68" r:id="rId132" display="Run 415"/>
    <hyperlink ref="B69" r:id="rId133" display="Open case"/>
    <hyperlink ref="C69" r:id="rId134" display="Run 415"/>
    <hyperlink ref="B70" r:id="rId135" display="Open case"/>
    <hyperlink ref="C70" r:id="rId136" display="Run 415"/>
    <hyperlink ref="B71" r:id="rId137" display="Open case"/>
    <hyperlink ref="C71" r:id="rId138" display="Run 415"/>
    <hyperlink ref="B72" r:id="rId139" display="Open case"/>
    <hyperlink ref="C72" r:id="rId140" display="Run 415"/>
    <hyperlink ref="B73" r:id="rId141" display="Open case"/>
    <hyperlink ref="C73" r:id="rId142" display="Run 415"/>
    <hyperlink ref="B74" r:id="rId143" display="Open case"/>
    <hyperlink ref="C74" r:id="rId144" display="Run 415"/>
    <hyperlink ref="B75" r:id="rId145" display="Open case"/>
    <hyperlink ref="C75" r:id="rId146" display="Run 415"/>
    <hyperlink ref="B76" r:id="rId147" display="Open case"/>
    <hyperlink ref="C76" r:id="rId148" display="Run 415"/>
    <hyperlink ref="B77" r:id="rId149" display="Open case"/>
    <hyperlink ref="C77" r:id="rId150" display="Run 415"/>
    <hyperlink ref="B78" r:id="rId151" display="Open case"/>
    <hyperlink ref="C78" r:id="rId152" display="Run 415"/>
    <hyperlink ref="B79" r:id="rId153" display="Open case"/>
    <hyperlink ref="C79" r:id="rId154" display="Run 415"/>
    <hyperlink ref="B80" r:id="rId155" display="Open case"/>
    <hyperlink ref="C80" r:id="rId156" display="Run 415"/>
    <hyperlink ref="B81" r:id="rId157" display="Open case"/>
    <hyperlink ref="C81" r:id="rId158" display="Run 415"/>
    <hyperlink ref="B82" r:id="rId159" display="Open case"/>
    <hyperlink ref="C82" r:id="rId160" display="Run 415"/>
    <hyperlink ref="B83" r:id="rId161" display="Open case"/>
    <hyperlink ref="C83" r:id="rId162" display="Run 415"/>
    <hyperlink ref="B84" r:id="rId163" display="Open case"/>
    <hyperlink ref="C84" r:id="rId164" display="Run 415"/>
    <hyperlink ref="C85" r:id="rId165" display="Run 415"/>
    <hyperlink ref="B86" r:id="rId166" display="Open case"/>
    <hyperlink ref="C86" r:id="rId167" display="Run 415"/>
    <hyperlink ref="B87" r:id="rId168" display="Open case"/>
    <hyperlink ref="C87" r:id="rId169" display="Run 415"/>
    <hyperlink ref="B88" r:id="rId170" display="Open case"/>
    <hyperlink ref="C88" r:id="rId171" display="Run 415"/>
    <hyperlink ref="B89" r:id="rId172" display="Open case"/>
    <hyperlink ref="C89" r:id="rId173" display="Run 415"/>
    <hyperlink ref="B90" r:id="rId174" display="Open case"/>
    <hyperlink ref="C90" r:id="rId175" display="Run 415"/>
    <hyperlink ref="B91" r:id="rId176" display="Open case"/>
    <hyperlink ref="C91" r:id="rId177" display="Run 415"/>
    <hyperlink ref="B92" r:id="rId178" display="Open case"/>
    <hyperlink ref="C92" r:id="rId179" display="Run 415"/>
    <hyperlink ref="B93" r:id="rId180" display="Open case"/>
    <hyperlink ref="C93" r:id="rId181" display="Run 415"/>
    <hyperlink ref="B94" r:id="rId182" display="Open case"/>
    <hyperlink ref="C94" r:id="rId183" display="Run 415"/>
    <hyperlink ref="B95" r:id="rId184" display="Open case"/>
    <hyperlink ref="C95" r:id="rId185" display="Run 415"/>
    <hyperlink ref="B96" r:id="rId186" display="Open case"/>
    <hyperlink ref="C96" r:id="rId187" display="Run 415"/>
    <hyperlink ref="B97" r:id="rId188" display="Open case"/>
    <hyperlink ref="C97" r:id="rId189" display="Run 415"/>
    <hyperlink ref="B98" r:id="rId190" display="Open case"/>
    <hyperlink ref="C98" r:id="rId191" display="Run 415"/>
    <hyperlink ref="B99" r:id="rId192" display="Open case"/>
    <hyperlink ref="C99" r:id="rId193" display="Run 415"/>
    <hyperlink ref="B100" r:id="rId194" display="Open case"/>
    <hyperlink ref="C100" r:id="rId195" display="Run 415"/>
    <hyperlink ref="B101" r:id="rId196" display="Open case"/>
    <hyperlink ref="C101" r:id="rId197" display="Run 415"/>
    <hyperlink ref="B102" r:id="rId198" display="Open case"/>
    <hyperlink ref="C102" r:id="rId199" display="Run 415"/>
    <hyperlink ref="B103" r:id="rId200" display="Open case"/>
    <hyperlink ref="C103" r:id="rId201" display="Run 415"/>
    <hyperlink ref="B104" r:id="rId202" display="Open case"/>
    <hyperlink ref="C104" r:id="rId203" display="Run 415"/>
    <hyperlink ref="B105" r:id="rId204" display="Open case"/>
    <hyperlink ref="C105" r:id="rId205" display="Run 415"/>
    <hyperlink ref="B106" r:id="rId206" display="Open case"/>
    <hyperlink ref="C106" r:id="rId207" display="Run 415"/>
    <hyperlink ref="B107" r:id="rId208" display="Open case"/>
    <hyperlink ref="C107" r:id="rId209" display="Run 415"/>
    <hyperlink ref="B108" r:id="rId210" display="Open case"/>
    <hyperlink ref="C108" r:id="rId211" display="Run 415"/>
    <hyperlink ref="B109" r:id="rId212" display="Open case"/>
    <hyperlink ref="C109" r:id="rId213" display="Run 415"/>
    <hyperlink ref="B110" r:id="rId214" display="Open case"/>
    <hyperlink ref="C110" r:id="rId215" display="Run 415"/>
    <hyperlink ref="B111" r:id="rId216" display="Open case"/>
    <hyperlink ref="C111" r:id="rId217" display="Run 415"/>
    <hyperlink ref="B112" r:id="rId218" display="Open case"/>
    <hyperlink ref="C112" r:id="rId219" display="Run 415"/>
    <hyperlink ref="B113" r:id="rId220" display="Open case"/>
    <hyperlink ref="C113" r:id="rId221" display="Run 415"/>
    <hyperlink ref="B114" r:id="rId222" display="Open case"/>
    <hyperlink ref="C114" r:id="rId223" display="Run 415"/>
    <hyperlink ref="B115" r:id="rId224" display="Open case"/>
    <hyperlink ref="C115" r:id="rId225" display="Run 415"/>
    <hyperlink ref="B116" r:id="rId226" display="Open case"/>
    <hyperlink ref="C116" r:id="rId227" display="Run 415"/>
    <hyperlink ref="B117" r:id="rId228" display="Open case"/>
    <hyperlink ref="C117" r:id="rId229" display="Run 415"/>
    <hyperlink ref="B118" r:id="rId230" display="Open case"/>
    <hyperlink ref="C118" r:id="rId231" display="Run 415"/>
    <hyperlink ref="B119" r:id="rId232" display="Open case"/>
    <hyperlink ref="C119" r:id="rId233" display="Run 415"/>
    <hyperlink ref="B120" r:id="rId234" display="Open case"/>
    <hyperlink ref="C120" r:id="rId235" display="Run 415"/>
    <hyperlink ref="B121" r:id="rId236" display="Open case"/>
    <hyperlink ref="C121" r:id="rId237" display="Run 415"/>
    <hyperlink ref="B122" r:id="rId238" display="Open case"/>
    <hyperlink ref="C122" r:id="rId239" display="Run 415"/>
    <hyperlink ref="B123" r:id="rId240" display="Open case"/>
    <hyperlink ref="C123" r:id="rId241" display="Run 415"/>
    <hyperlink ref="B124" r:id="rId242" display="Open case"/>
    <hyperlink ref="C124" r:id="rId243" display="Run 415"/>
    <hyperlink ref="B125" r:id="rId244" display="Open case"/>
    <hyperlink ref="C125" r:id="rId245" display="Run 415"/>
    <hyperlink ref="B126" r:id="rId246" display="Open case"/>
    <hyperlink ref="C126" r:id="rId247" display="Run 415"/>
    <hyperlink ref="B127" r:id="rId248" display="Open case"/>
    <hyperlink ref="C127" r:id="rId249" display="Run 415"/>
    <hyperlink ref="B128" r:id="rId250" display="Open case"/>
    <hyperlink ref="C128" r:id="rId251" display="Run 415"/>
    <hyperlink ref="B129" r:id="rId252" display="Open case"/>
    <hyperlink ref="C129" r:id="rId253" display="Run 415"/>
    <hyperlink ref="B130" r:id="rId254" display="Open case"/>
    <hyperlink ref="C130" r:id="rId255" display="Run 415"/>
    <hyperlink ref="B131" r:id="rId256" display="Open case"/>
    <hyperlink ref="C131" r:id="rId257" display="Run 415"/>
    <hyperlink ref="B132" r:id="rId258" display="Open case"/>
    <hyperlink ref="C132" r:id="rId259" display="Run 415"/>
    <hyperlink ref="B133" r:id="rId260" display="Open case"/>
    <hyperlink ref="C133" r:id="rId261" display="Run 415"/>
    <hyperlink ref="B134" r:id="rId262" display="Open case"/>
    <hyperlink ref="C134" r:id="rId263" display="Run 415"/>
    <hyperlink ref="B135" r:id="rId264" display="Open case"/>
    <hyperlink ref="C135" r:id="rId265" display="Run 415"/>
    <hyperlink ref="B136" r:id="rId266" display="Open case"/>
    <hyperlink ref="C136" r:id="rId267" display="Run 415"/>
    <hyperlink ref="B137" r:id="rId268" display="Open case"/>
    <hyperlink ref="C137" r:id="rId269" display="Run 415"/>
    <hyperlink ref="B138" r:id="rId270" display="Open case"/>
    <hyperlink ref="C138" r:id="rId271" display="Run 415"/>
    <hyperlink ref="B139" r:id="rId272" display="Open case"/>
    <hyperlink ref="C139" r:id="rId273" display="Run 415"/>
    <hyperlink ref="B140" r:id="rId274" display="Open case"/>
    <hyperlink ref="C140" r:id="rId275" display="Run 415"/>
    <hyperlink ref="B141" r:id="rId276" display="Open case"/>
    <hyperlink ref="C141" r:id="rId277" display="Run 415"/>
    <hyperlink ref="B142" r:id="rId278" display="Open case"/>
    <hyperlink ref="C142" r:id="rId279" display="Run 415"/>
    <hyperlink ref="B143" r:id="rId280" display="Open case"/>
    <hyperlink ref="C143" r:id="rId281" display="Run 415"/>
    <hyperlink ref="B144" r:id="rId282" display="Open case"/>
    <hyperlink ref="C144" r:id="rId283" display="Run 415"/>
    <hyperlink ref="B145" r:id="rId284" display="Open case"/>
    <hyperlink ref="C145" r:id="rId285" display="Run 415"/>
    <hyperlink ref="B146" r:id="rId286" display="Open case"/>
    <hyperlink ref="C146" r:id="rId287" display="Run 415"/>
    <hyperlink ref="B147" r:id="rId288" display="Open case"/>
    <hyperlink ref="C147" r:id="rId289" display="Run 415"/>
    <hyperlink ref="B148" r:id="rId290" display="Open case"/>
    <hyperlink ref="C148" r:id="rId291" display="Run 415"/>
    <hyperlink ref="B149" r:id="rId292" display="Open case"/>
    <hyperlink ref="C149" r:id="rId293" display="Run 415"/>
    <hyperlink ref="B150" r:id="rId294" display="Open case"/>
    <hyperlink ref="C150" r:id="rId295" display="Run 415"/>
    <hyperlink ref="B151" r:id="rId296" display="Open case"/>
    <hyperlink ref="C151" r:id="rId297" display="Run 415"/>
    <hyperlink ref="B152" r:id="rId298" display="Open case"/>
    <hyperlink ref="C152" r:id="rId299" display="Run 415"/>
    <hyperlink ref="B153" r:id="rId300" display="Open case"/>
    <hyperlink ref="C153" r:id="rId301" display="Run 415"/>
    <hyperlink ref="B154" r:id="rId302" display="Open case"/>
    <hyperlink ref="C154" r:id="rId303" display="Run 415"/>
    <hyperlink ref="B155" r:id="rId304" display="Open case"/>
    <hyperlink ref="C155" r:id="rId305" display="Run 415"/>
    <hyperlink ref="B156" r:id="rId306" display="Open case"/>
    <hyperlink ref="C156" r:id="rId307" display="Run 415"/>
    <hyperlink ref="B157" r:id="rId308" display="Open case"/>
    <hyperlink ref="C157" r:id="rId309" display="Run 415"/>
    <hyperlink ref="B158" r:id="rId310" display="Open case"/>
    <hyperlink ref="C158" r:id="rId311" display="Run 415"/>
    <hyperlink ref="B159" r:id="rId312" display="Open case"/>
    <hyperlink ref="C159" r:id="rId313" display="Run 415"/>
    <hyperlink ref="B160" r:id="rId314" display="Open case"/>
    <hyperlink ref="C160" r:id="rId315" display="Run 415"/>
    <hyperlink ref="B161" r:id="rId316" display="Open case"/>
    <hyperlink ref="C161" r:id="rId317" display="Run 415"/>
    <hyperlink ref="B162" r:id="rId318" display="Open case"/>
    <hyperlink ref="C162" r:id="rId319" display="Run 415"/>
    <hyperlink ref="B163" r:id="rId320" display="Open case"/>
    <hyperlink ref="C163" r:id="rId321" display="Run 415"/>
    <hyperlink ref="B164" r:id="rId322" display="Open case"/>
    <hyperlink ref="C164" r:id="rId323" display="Run 415"/>
    <hyperlink ref="B165" r:id="rId324" display="Open case"/>
    <hyperlink ref="C165" r:id="rId325" display="Run 415"/>
    <hyperlink ref="B166" r:id="rId326" display="Open case"/>
    <hyperlink ref="C166" r:id="rId327" display="Run 415"/>
    <hyperlink ref="B167" r:id="rId328" display="Open case"/>
    <hyperlink ref="C167" r:id="rId329" display="Run 415"/>
    <hyperlink ref="B168" r:id="rId330" display="Open case"/>
    <hyperlink ref="C168" r:id="rId331" display="Run 415"/>
    <hyperlink ref="B169" r:id="rId332" display="Open case"/>
    <hyperlink ref="C169" r:id="rId333" display="Run 415"/>
    <hyperlink ref="B170" r:id="rId334" display="Open case"/>
    <hyperlink ref="C170" r:id="rId335" display="Run 415"/>
    <hyperlink ref="B171" r:id="rId336" display="Open case"/>
    <hyperlink ref="C171" r:id="rId337" display="Run 415"/>
    <hyperlink ref="B172" r:id="rId338" display="Open case"/>
    <hyperlink ref="C172" r:id="rId339" display="Run 415"/>
    <hyperlink ref="B173" r:id="rId340" display="Open case"/>
    <hyperlink ref="C173" r:id="rId341" display="Run 415"/>
    <hyperlink ref="B174" r:id="rId342" display="Open case"/>
    <hyperlink ref="C174" r:id="rId343" display="Run 415"/>
    <hyperlink ref="B175" r:id="rId344" display="Open case"/>
    <hyperlink ref="C175" r:id="rId345" display="Run 415"/>
    <hyperlink ref="B176" r:id="rId346" display="Open case"/>
    <hyperlink ref="C176" r:id="rId347" display="Run 415"/>
    <hyperlink ref="B177" r:id="rId348" display="Open case"/>
    <hyperlink ref="C177" r:id="rId349" display="Run 415"/>
    <hyperlink ref="B178" r:id="rId350" display="Open case"/>
    <hyperlink ref="C178" r:id="rId351" display="Run 415"/>
    <hyperlink ref="B179" r:id="rId352" display="Open case"/>
    <hyperlink ref="C179" r:id="rId353" display="Run 415"/>
    <hyperlink ref="B180" r:id="rId354" display="Open case"/>
    <hyperlink ref="C180" r:id="rId355" display="Run 415"/>
    <hyperlink ref="B181" r:id="rId356" display="Open case"/>
    <hyperlink ref="C181" r:id="rId357" display="Run 415"/>
    <hyperlink ref="B182" r:id="rId358" display="Open case"/>
    <hyperlink ref="C182" r:id="rId359" display="Run 415"/>
    <hyperlink ref="B183" r:id="rId360" display="Open case"/>
    <hyperlink ref="C183" r:id="rId361" display="Run 415"/>
    <hyperlink ref="B184" r:id="rId362" display="Open case"/>
    <hyperlink ref="C184" r:id="rId363" display="Run 415"/>
    <hyperlink ref="B185" r:id="rId364" display="Open case"/>
    <hyperlink ref="C185" r:id="rId365" display="Run 415"/>
    <hyperlink ref="B186" r:id="rId366" display="Open case"/>
    <hyperlink ref="C186" r:id="rId367" display="Run 415"/>
    <hyperlink ref="B187" r:id="rId368" display="Open case"/>
    <hyperlink ref="C187" r:id="rId369" display="Run 415"/>
    <hyperlink ref="B188" r:id="rId370" display="Open case"/>
    <hyperlink ref="C188" r:id="rId371" display="Run 415"/>
    <hyperlink ref="B189" r:id="rId372" display="Open case"/>
    <hyperlink ref="C189" r:id="rId373" display="Run 415"/>
    <hyperlink ref="B190" r:id="rId374" display="Open case"/>
    <hyperlink ref="C190" r:id="rId375" display="Run 415"/>
    <hyperlink ref="B191" r:id="rId376" display="Open case"/>
    <hyperlink ref="C191" r:id="rId377" display="Run 415"/>
    <hyperlink ref="B192" r:id="rId378" display="Open case"/>
    <hyperlink ref="C192" r:id="rId379" display="Run 415"/>
    <hyperlink ref="B193" r:id="rId380" display="Open case"/>
    <hyperlink ref="C193" r:id="rId381" display="Run 415"/>
    <hyperlink ref="B194" r:id="rId382" display="Open case"/>
    <hyperlink ref="C194" r:id="rId383" display="Run 415"/>
    <hyperlink ref="B195" r:id="rId384" display="Open case"/>
    <hyperlink ref="C195" r:id="rId385" display="Run 415"/>
    <hyperlink ref="B196" r:id="rId386" display="Open case"/>
    <hyperlink ref="C196" r:id="rId387" display="Run 415"/>
    <hyperlink ref="B197" r:id="rId388" display="Open case"/>
    <hyperlink ref="C197" r:id="rId389" display="Run 415"/>
    <hyperlink ref="B198" r:id="rId390" display="Open case"/>
    <hyperlink ref="C198" r:id="rId391" display="Run 415"/>
    <hyperlink ref="B199" r:id="rId392" display="Open case"/>
    <hyperlink ref="C199" r:id="rId393" display="Run 415"/>
    <hyperlink ref="B200" r:id="rId394" display="Open case"/>
    <hyperlink ref="C200" r:id="rId395" display="Run 415"/>
    <hyperlink ref="B201" r:id="rId396" display="Open case"/>
    <hyperlink ref="C201" r:id="rId397" display="Run 415"/>
    <hyperlink ref="B202" r:id="rId398" display="Open case"/>
    <hyperlink ref="C202" r:id="rId399" display="Run 415"/>
    <hyperlink ref="B203" r:id="rId400" display="Open case"/>
    <hyperlink ref="C203" r:id="rId401" display="Run 415"/>
    <hyperlink ref="B204" r:id="rId402" display="Open case"/>
    <hyperlink ref="C204" r:id="rId403" display="Run 415"/>
    <hyperlink ref="B205" r:id="rId404" display="Open case"/>
    <hyperlink ref="C205" r:id="rId405" display="Run 415"/>
    <hyperlink ref="B206" r:id="rId406" display="Open case"/>
    <hyperlink ref="C206" r:id="rId407" display="Run 415"/>
    <hyperlink ref="B207" r:id="rId408" display="Open case"/>
    <hyperlink ref="C207" r:id="rId409" display="Run 415"/>
    <hyperlink ref="B208" r:id="rId410" display="Open case"/>
    <hyperlink ref="C208" r:id="rId411" display="Run 415"/>
    <hyperlink ref="B209" r:id="rId412" display="Open case"/>
    <hyperlink ref="C209" r:id="rId413" display="Run 415"/>
    <hyperlink ref="B210" r:id="rId414" display="Open case"/>
    <hyperlink ref="C210" r:id="rId415" display="Run 415"/>
    <hyperlink ref="B211" r:id="rId416" display="Open case"/>
    <hyperlink ref="C211" r:id="rId417" display="Run 415"/>
    <hyperlink ref="B212" r:id="rId418" display="Open case"/>
    <hyperlink ref="C212" r:id="rId419" display="Run 415"/>
    <hyperlink ref="B213" r:id="rId420" display="Open case"/>
    <hyperlink ref="C213" r:id="rId421" display="Run 415"/>
    <hyperlink ref="B214" r:id="rId422" display="Open case"/>
    <hyperlink ref="C214" r:id="rId423" display="Run 415"/>
    <hyperlink ref="B215" r:id="rId424" display="Open case"/>
    <hyperlink ref="C215" r:id="rId425" display="Run 415"/>
    <hyperlink ref="B216" r:id="rId426" display="Open case"/>
    <hyperlink ref="C216" r:id="rId427" display="Run 415"/>
    <hyperlink ref="B217" r:id="rId428" display="Open case"/>
    <hyperlink ref="C217" r:id="rId429" display="Run 415"/>
    <hyperlink ref="B218" r:id="rId430" display="Open case"/>
    <hyperlink ref="C218" r:id="rId431" display="Run 415"/>
    <hyperlink ref="B219" r:id="rId432" display="Open case"/>
    <hyperlink ref="C219" r:id="rId433" display="Run 415"/>
    <hyperlink ref="B220" r:id="rId434" display="Open case"/>
    <hyperlink ref="C220" r:id="rId435"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3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2026-10-03T00:38:13Z</dcterms:created>
  <dc:creator>openpyxl</dc:creator>
  <dc:description/>
  <dc:language>en-US</dc:language>
  <cp:lastModifiedBy/>
  <dcterms:modified xsi:type="dcterms:W3CDTF">2026-10-03T00:38:14Z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